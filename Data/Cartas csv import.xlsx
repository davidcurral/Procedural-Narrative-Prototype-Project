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<sst xmlns="http://schemas.openxmlformats.org/spreadsheetml/2006/main" count="2045" uniqueCount="632">
  <si>
    <t>Id</t>
  </si>
  <si>
    <t>Name</t>
  </si>
  <si>
    <t>Game Name</t>
  </si>
  <si>
    <t>Description</t>
  </si>
  <si>
    <t>Left</t>
  </si>
  <si>
    <t>Left Update</t>
  </si>
  <si>
    <t>Right Update</t>
  </si>
  <si>
    <t>Right</t>
  </si>
  <si>
    <t>Rarity</t>
  </si>
  <si>
    <t>Arc</t>
  </si>
  <si>
    <t>Availability</t>
  </si>
  <si>
    <t>Weight</t>
  </si>
  <si>
    <t>Cooldown</t>
  </si>
  <si>
    <t>Arc Prog</t>
  </si>
  <si>
    <t>Left_Discription</t>
  </si>
  <si>
    <t>RIght_Discription</t>
  </si>
  <si>
    <t>choice</t>
  </si>
  <si>
    <t>type</t>
  </si>
  <si>
    <t>target</t>
  </si>
  <si>
    <t>value</t>
  </si>
  <si>
    <t>extra</t>
  </si>
  <si>
    <t>condition_type</t>
  </si>
  <si>
    <t>operator</t>
  </si>
  <si>
    <t>Oxygen Shortage</t>
  </si>
  <si>
    <t>The colony’s oxygen reserves are falling faster than expected, and panic is beginning to spread through the lower sectors.</t>
  </si>
  <si>
    <t>Ration oxygen:
 Resources +10 / moral -10</t>
  </si>
  <si>
    <t xml:space="preserve"> Resources +10 / moral -15</t>
  </si>
  <si>
    <t>Resources -8 / Moral +5</t>
  </si>
  <si>
    <t>Increase production: 
Resources -10 / Progress +5</t>
  </si>
  <si>
    <t>Common</t>
  </si>
  <si>
    <t>Resource Cards</t>
  </si>
  <si>
    <t>Air reserves are dropping</t>
  </si>
  <si>
    <t>no arc</t>
  </si>
  <si>
    <t>Ration oxygen</t>
  </si>
  <si>
    <t>Increase production</t>
  </si>
  <si>
    <t>left</t>
  </si>
  <si>
    <t>stat</t>
  </si>
  <si>
    <t>resources</t>
  </si>
  <si>
    <r>
      <rPr>
        <rFont val="Arial"/>
        <b/>
        <color rgb="FF6AA84F"/>
      </rPr>
      <t>Common</t>
    </r>
    <r>
      <rPr>
        <rFont val="Arial"/>
        <color theme="1"/>
      </rPr>
      <t xml:space="preserve">
 - Survival problems
 - Economy
 - Moral
 - Maintenance
 - Population</t>
    </r>
  </si>
  <si>
    <r>
      <rPr>
        <rFont val="Arial"/>
        <b/>
        <color rgb="FF1155CC"/>
      </rPr>
      <t>Uncommon</t>
    </r>
    <r>
      <rPr>
        <rFont val="Arial"/>
        <color theme="1"/>
      </rPr>
      <t xml:space="preserve">
 - Faction conflicts
 - Research events
 - Tech proposals</t>
    </r>
  </si>
  <si>
    <r>
      <rPr>
        <rFont val="Arial"/>
        <b/>
        <color rgb="FF85200C"/>
      </rPr>
      <t>Rare</t>
    </r>
    <r>
      <rPr>
        <rFont val="Arial"/>
        <color theme="1"/>
      </rPr>
      <t xml:space="preserve">
 - Arc advancement
 - Major discoveries
 - System changes
</t>
    </r>
  </si>
  <si>
    <t>Hydroponic Failure</t>
  </si>
  <si>
    <t>A fungal infestation has crippled the hydroponic farms, threatening the colony’s primary food supply.</t>
  </si>
  <si>
    <t>Repair system:
 Resources -10 / moral +5</t>
  </si>
  <si>
    <t xml:space="preserve"> Resources -10 / moral +5</t>
  </si>
  <si>
    <t>Resources +5 / Moral -10</t>
  </si>
  <si>
    <t>Reduce food distribution: 
Resources +5 / Moral -10</t>
  </si>
  <si>
    <t>Food production system malfunctioning</t>
  </si>
  <si>
    <t>Repair system</t>
  </si>
  <si>
    <t>Reduce food distribution</t>
  </si>
  <si>
    <t>moral</t>
  </si>
  <si>
    <r>
      <rPr>
        <rFont val="Arial"/>
        <b/>
        <color rgb="FFF1C232"/>
      </rPr>
      <t>Legendary</t>
    </r>
    <r>
      <rPr>
        <rFont val="Arial"/>
        <color theme="1"/>
      </rPr>
      <t xml:space="preserve">
 - Endings
 - Irreversible change
 - Disasters</t>
    </r>
  </si>
  <si>
    <t>Mining Expedition</t>
  </si>
  <si>
    <t>Deep scanners have detected a rich mineral vein beneath the eastern canyon, but the route is unstable and dangerous.</t>
  </si>
  <si>
    <t>Send crew:
Resources +15 / moral -5</t>
  </si>
  <si>
    <t>Resources +15 / Moral -5</t>
  </si>
  <si>
    <t>Progress +5 / Resources -7</t>
  </si>
  <si>
    <t>Deploy drones:
Progress +5 / Resources -10</t>
  </si>
  <si>
    <t>New mineral deposit detected.</t>
  </si>
  <si>
    <t>Send crew</t>
  </si>
  <si>
    <t>Deploy drones</t>
  </si>
  <si>
    <t>right</t>
  </si>
  <si>
    <t>Deploy drones:
Progress +10 / Resources -10</t>
  </si>
  <si>
    <t>Reactor Maintenance</t>
  </si>
  <si>
    <t>Engineers warn that the aging reactor core requires immediate maintenance before a catastrophic failure occurs.</t>
  </si>
  <si>
    <t>Perform maintenance:
 Security +15 / Resources -15</t>
  </si>
  <si>
    <t xml:space="preserve"> Security +5 / Resources -15</t>
  </si>
  <si>
    <t>Resources +10 / Risk +2 / Progress -5</t>
  </si>
  <si>
    <t>Delay maintenance: 
Resources +10 / Risk +2</t>
  </si>
  <si>
    <t>Nuclear reactor requires inspection</t>
  </si>
  <si>
    <t>Perform maintenance</t>
  </si>
  <si>
    <t>Delay maintenance</t>
  </si>
  <si>
    <t>progress</t>
  </si>
  <si>
    <t>Water Contamination</t>
  </si>
  <si>
    <t>Trace contaminants have been discovered in the drinking water, and medical staff fear long-term exposure effects.</t>
  </si>
  <si>
    <t>Purify water: 
Resources -10 / moral +5</t>
  </si>
  <si>
    <t>Resources -5 / moral +5</t>
  </si>
  <si>
    <t xml:space="preserve"> Resources +5 / moral -10</t>
  </si>
  <si>
    <t>Ignore issue:
 Resources +5 / moral -10</t>
  </si>
  <si>
    <t>Water supply shows impurities</t>
  </si>
  <si>
    <t>Purify water</t>
  </si>
  <si>
    <t>Ignore issue</t>
  </si>
  <si>
    <t>Rarity Tier List</t>
  </si>
  <si>
    <t>Water Recycling Issue</t>
  </si>
  <si>
    <t>The colony’s recycling systems are malfunctioning, causing purified water reserves to steadily decline.</t>
  </si>
  <si>
    <t>Strict rationing: 
Resources +10 / moral -5</t>
  </si>
  <si>
    <t>Resources +10 / moral -5</t>
  </si>
  <si>
    <t>Resources -8 / Progress +5</t>
  </si>
  <si>
    <t>Upgrade System: 
Resources -10 / Progress +10</t>
  </si>
  <si>
    <t>Uncommon</t>
  </si>
  <si>
    <t>Water purification malfunction.</t>
  </si>
  <si>
    <t>Strict rationing</t>
  </si>
  <si>
    <t>Upgrade System</t>
  </si>
  <si>
    <t>Structural Damage</t>
  </si>
  <si>
    <t>A fracture has appeared in the outer dome after a violent dust storm battered the colony overnight.</t>
  </si>
  <si>
    <t>Immediate repair:
Resources -15 / Security +10</t>
  </si>
  <si>
    <t>Resources -15 / Security +5</t>
  </si>
  <si>
    <t>Resources +5 / Progress -5</t>
  </si>
  <si>
    <t>Monitor situation:
Resources +5 / Risk +1</t>
  </si>
  <si>
    <t>Outer dome cracked.</t>
  </si>
  <si>
    <t>Immediate repair</t>
  </si>
  <si>
    <t>Monitor situation</t>
  </si>
  <si>
    <t>Power Grid Overload</t>
  </si>
  <si>
    <t>Energy consumption has reached critical levels as more sectors compete for power during the freezing nights.</t>
  </si>
  <si>
    <t>Shut sectors down: 
Security +5 / moral -10</t>
  </si>
  <si>
    <t>Security +5 / moral -10</t>
  </si>
  <si>
    <t>Resources -10 / Progress +5</t>
  </si>
  <si>
    <t>Upgrade grid: 
Resources -15 / Progress +10</t>
  </si>
  <si>
    <t>Energy demand exceeds capacity</t>
  </si>
  <si>
    <t>Shut sectors down</t>
  </si>
  <si>
    <t>Upgrade grid</t>
  </si>
  <si>
    <t>Equipment Malfunction</t>
  </si>
  <si>
    <t>Essential machinery across multiple sectors is failing without explanation, slowing daily operations.</t>
  </si>
  <si>
    <t>Repair now:
 Resources -10 / Progress +5</t>
  </si>
  <si>
    <t xml:space="preserve"> Resources -5 / Progress +5</t>
  </si>
  <si>
    <t>Resources +5 / Risk +1</t>
  </si>
  <si>
    <t>Delay maintenance:
Resources +5 / Risk +1</t>
  </si>
  <si>
    <t>Critical machines failing</t>
  </si>
  <si>
    <t>Repair now</t>
  </si>
  <si>
    <t>Mining Accident</t>
  </si>
  <si>
    <t>A tunnel collapse has trapped several workers beneath the mines, and rescue teams are running out of time.</t>
  </si>
  <si>
    <t>Improve safety: 
Security +10 / Resources -10</t>
  </si>
  <si>
    <t>Security +5 / Resources -5</t>
  </si>
  <si>
    <t>Resources +20 / moral -10</t>
  </si>
  <si>
    <t>Push production: 
Resources +15 / moral -10</t>
  </si>
  <si>
    <t>Workers injured in mining tunnels</t>
  </si>
  <si>
    <t>Improve safety</t>
  </si>
  <si>
    <t>Push production</t>
  </si>
  <si>
    <t>Communication Delay</t>
  </si>
  <si>
    <t>Messages from Earth are arriving days late, deepening the colony’s growing sense of isolation.</t>
  </si>
  <si>
    <t>Boost signal: 
Resources -5 / Influence +5</t>
  </si>
  <si>
    <t>Resources -5 / progress +2</t>
  </si>
  <si>
    <t>Resources +5</t>
  </si>
  <si>
    <t>Ignore issue: 
Resources +5</t>
  </si>
  <si>
    <t>Signal with Earth unstable</t>
  </si>
  <si>
    <t>Boost signal</t>
  </si>
  <si>
    <t>🤖 AI Chain</t>
  </si>
  <si>
    <t>👽 Alien Chain</t>
  </si>
  <si>
    <t>🏛 Political Chain</t>
  </si>
  <si>
    <t>🌍 Progress Chain</t>
  </si>
  <si>
    <t>Atmospheric Leak</t>
  </si>
  <si>
    <t>Sensors have detected a slow air leak somewhere within the habitat ring, but its exact location remains unknown.</t>
  </si>
  <si>
    <t>Seal breach: 
Security +10 / Resources -5</t>
  </si>
  <si>
    <t>Security +10 / Resources -5</t>
  </si>
  <si>
    <t xml:space="preserve"> Resources +5 / Risk +1</t>
  </si>
  <si>
    <t>Delay repair:
 Resources +5 / Risk +1</t>
  </si>
  <si>
    <t>Minor breach detected</t>
  </si>
  <si>
    <t>Seal breach</t>
  </si>
  <si>
    <t>Delay repair</t>
  </si>
  <si>
    <t>Experimental AI</t>
  </si>
  <si>
    <t>Strange Signal</t>
  </si>
  <si>
    <t>Worker Unrest</t>
  </si>
  <si>
    <t>Terraforming Trial</t>
  </si>
  <si>
    <t>Terraforming Test</t>
  </si>
  <si>
    <t>Scientists prepare to release experimental atmospheric processors into the planet’s hostile environment.</t>
  </si>
  <si>
    <t>Run test: 
Progress +20 / Risk +1</t>
  </si>
  <si>
    <t>Progress +5 / Risk +1</t>
  </si>
  <si>
    <t>Resources +5 / Securtiy +5</t>
  </si>
  <si>
    <t>Delay project: 
Resources +5 / Securtiy +5</t>
  </si>
  <si>
    <t>Atmospheric conversion experiment</t>
  </si>
  <si>
    <t>Run test</t>
  </si>
  <si>
    <t>Delay project</t>
  </si>
  <si>
    <t>security</t>
  </si>
  <si>
    <t>Surveillance Network</t>
  </si>
  <si>
    <t>→ Alien Microbes</t>
  </si>
  <si>
    <t>→ Faction Rivalry</t>
  </si>
  <si>
    <t>→ Atmosphere Stability</t>
  </si>
  <si>
    <t>Underground Caverns</t>
  </si>
  <si>
    <t>Explorers have uncovered vast underground caverns beneath the colony, untouched by human presence.</t>
  </si>
  <si>
    <t>Explore caverns: 
Progress +10 / Risk +1</t>
  </si>
  <si>
    <t>Explore caverns: 
Progress +5 / Risk +1</t>
  </si>
  <si>
    <t>Security +5</t>
  </si>
  <si>
    <t>Seal entrance: 
Security +10</t>
  </si>
  <si>
    <t>New subterranean area discovered</t>
  </si>
  <si>
    <t>Explore caverns</t>
  </si>
  <si>
    <t>Seal entrance</t>
  </si>
  <si>
    <t>→ AI Autonomy</t>
  </si>
  <si>
    <t>→ Alien Structure</t>
  </si>
  <si>
    <t>→ Coup Attempt</t>
  </si>
  <si>
    <t>→ Terraforming Success</t>
  </si>
  <si>
    <t>Cargo Ship Arrival</t>
  </si>
  <si>
    <t>A long-awaited cargo vessel has entered orbit carrying vital supplies, luxury goods, and new rumors from Earth.</t>
  </si>
  <si>
    <t>Purchase supplies:
Resources +20 / Resources -10 (cost)</t>
  </si>
  <si>
    <t xml:space="preserve">Resources +20 / security -5 </t>
  </si>
  <si>
    <t>Refuse trade:
Security +5</t>
  </si>
  <si>
    <t>Supply ship offers goods.</t>
  </si>
  <si>
    <t>Purchase supplies</t>
  </si>
  <si>
    <t>Refuse trade</t>
  </si>
  <si>
    <t>→ AI Consciousness</t>
  </si>
  <si>
    <t>→ Communication</t>
  </si>
  <si>
    <t>→ Absolute Authority OR Democracy Ending</t>
  </si>
  <si>
    <t>→ Prosperity Ending</t>
  </si>
  <si>
    <t>Meteor Impact</t>
  </si>
  <si>
    <t>A fast-moving meteor is projected to strike one of the colony’s outer districts within hours.</t>
  </si>
  <si>
    <t>Repair damage:
 Resources -15 / Security +10</t>
  </si>
  <si>
    <t xml:space="preserve"> Resources -10 / Security +5</t>
  </si>
  <si>
    <t xml:space="preserve"> moral -10</t>
  </si>
  <si>
    <t>Evacuate sector:
 Population -10</t>
  </si>
  <si>
    <t>Meteor threatens colony sector</t>
  </si>
  <si>
    <t>Repair damage</t>
  </si>
  <si>
    <t>Evacuate sector</t>
  </si>
  <si>
    <t>→ AI Uprising / AI Partnership Ending</t>
  </si>
  <si>
    <t>→ Symbiosis / Planet Awakens</t>
  </si>
  <si>
    <t>Total System Failure</t>
  </si>
  <si>
    <t>Multiple core systems are shutting down simultaneously as the colony spirals toward collapse.</t>
  </si>
  <si>
    <t>Sacrifice sector: 
Security +20 / Resources -20</t>
  </si>
  <si>
    <t>Security + 10 / Resources -20</t>
  </si>
  <si>
    <t>Resources -15 / moral +10</t>
  </si>
  <si>
    <t>Full repair: 
Resources -30 / moral +10</t>
  </si>
  <si>
    <t>Rare</t>
  </si>
  <si>
    <t>Colony systems collapsing</t>
  </si>
  <si>
    <t>Sacrifice sector</t>
  </si>
  <si>
    <t>Full repair</t>
  </si>
  <si>
    <t>Dyson Prototype</t>
  </si>
  <si>
    <t>Researchers propose constructing a prototype orbital energy array capable of powering the colony indefinitely.</t>
  </si>
  <si>
    <t>Build prototype: 
Progress +30 / Resources -30</t>
  </si>
  <si>
    <t>Progress +10 / Resources -25</t>
  </si>
  <si>
    <t xml:space="preserve"> Resources +10</t>
  </si>
  <si>
    <t>Cancel project:
 Resources +10</t>
  </si>
  <si>
    <t>Massive energy project proposed</t>
  </si>
  <si>
    <t>Build prototype</t>
  </si>
  <si>
    <t>Cancel project</t>
  </si>
  <si>
    <t>Terraforming Success</t>
  </si>
  <si>
    <t>For the first time since landing, breathable air has been detected outside the colony walls.</t>
  </si>
  <si>
    <r>
      <rPr>
        <rFont val="Helvetica Neue"/>
        <color rgb="FF000000"/>
        <sz val="8.0"/>
      </rPr>
      <t xml:space="preserve">Expand colony: 
</t>
    </r>
    <r>
      <rPr>
        <rFont val="Helvetica Neue"/>
        <b/>
        <color rgb="FF000000"/>
        <sz val="8.0"/>
      </rPr>
      <t>Prosperity Ending</t>
    </r>
  </si>
  <si>
    <r>
      <rPr>
        <rFont val="Helvetica Neue"/>
        <b/>
        <color rgb="FF000000"/>
        <sz val="8.0"/>
      </rPr>
      <t xml:space="preserve">Prosperity Ending.     </t>
    </r>
    <r>
      <rPr>
        <rFont val="Helvetica Neue"/>
        <b val="0"/>
        <color rgb="FF000000"/>
        <sz val="8.0"/>
      </rPr>
      <t xml:space="preserve">                         Resources -20 / Moral 10 / Progress 10</t>
    </r>
  </si>
  <si>
    <t>Alien Relations +10                              Resources +15</t>
  </si>
  <si>
    <t>Preserve ecosystem: 
Alien Relations +10</t>
  </si>
  <si>
    <t>Legendary</t>
  </si>
  <si>
    <t>Planet becomes habitable</t>
  </si>
  <si>
    <t>Expand colony</t>
  </si>
  <si>
    <t>Preserve ecosystem</t>
  </si>
  <si>
    <t>&gt;</t>
  </si>
  <si>
    <r>
      <rPr>
        <rFont val="Helvetica Neue"/>
        <color rgb="FF000000"/>
        <sz val="8.0"/>
      </rPr>
      <t xml:space="preserve">Expand colony: 
</t>
    </r>
    <r>
      <rPr>
        <rFont val="Helvetica Neue"/>
        <b/>
        <color rgb="FF000000"/>
        <sz val="8.0"/>
      </rPr>
      <t>Prosperity Ending</t>
    </r>
  </si>
  <si>
    <t>Worker Strike</t>
  </si>
  <si>
    <t>Exhausted labor crews have abandoned their posts, demanding safer conditions and fair resource distribution.</t>
  </si>
  <si>
    <t>Negotiate: 
moral +15 / Resources -10</t>
  </si>
  <si>
    <t>moral +15 / Resources -5</t>
  </si>
  <si>
    <t xml:space="preserve"> Security +5 / moral -15</t>
  </si>
  <si>
    <t>Suppress strike:
 Security +10 / moral -15</t>
  </si>
  <si>
    <t>Social Cards</t>
  </si>
  <si>
    <t>Colonists protest working conditions</t>
  </si>
  <si>
    <t>Negotiate</t>
  </si>
  <si>
    <t>Suppress strike</t>
  </si>
  <si>
    <t>Cultural Festival</t>
  </si>
  <si>
    <t>Colonists request permission to hold a rare festival to remind the colony what life once felt like.</t>
  </si>
  <si>
    <t xml:space="preserve">Approve festival: 
 Resources -10 / moral +20 </t>
  </si>
  <si>
    <t xml:space="preserve"> Resources -10 / moral +15 </t>
  </si>
  <si>
    <t xml:space="preserve"> Resources +10 / moral -10</t>
  </si>
  <si>
    <t>Deny request:
 Resources +5 / moral -10</t>
  </si>
  <si>
    <t>Colonists request celebration</t>
  </si>
  <si>
    <t>Approve festival</t>
  </si>
  <si>
    <t>Deny request</t>
  </si>
  <si>
    <t>flag</t>
  </si>
  <si>
    <t>ai_discoverd</t>
  </si>
  <si>
    <t>"=="</t>
  </si>
  <si>
    <t>Approve festival: 
moral +20 / Resources -10</t>
  </si>
  <si>
    <t>Population Growth</t>
  </si>
  <si>
    <t>Birth rates are rising across the colony, placing additional pressure on already strained resources.</t>
  </si>
  <si>
    <t>Expand housing:
Resources -10 / moral +10</t>
  </si>
  <si>
    <t>Limit population:
Security +5 / moral -10</t>
  </si>
  <si>
    <t>Birth rate rising.</t>
  </si>
  <si>
    <t>Expand housing</t>
  </si>
  <si>
    <t>Limit population</t>
  </si>
  <si>
    <t>New Colonists Arrive</t>
  </si>
  <si>
    <t>A transport shuttle from Earth has arrived carrying hopeful settlers eager to begin a new life.</t>
  </si>
  <si>
    <t>Accept them:
 Population +10 / Resources -10</t>
  </si>
  <si>
    <t xml:space="preserve"> Progress +5 / Resources -5 / security -10</t>
  </si>
  <si>
    <t>Turn them away: 
Security +5 / moral -5</t>
  </si>
  <si>
    <t>A transport ship brings settlers</t>
  </si>
  <si>
    <t>Accept them</t>
  </si>
  <si>
    <t>Turn them away</t>
  </si>
  <si>
    <t>Mental Health Crisis</t>
  </si>
  <si>
    <t>Months of confinement and isolation are taking a psychological toll on the colony’s population.</t>
  </si>
  <si>
    <t>Therapy programs:
moral +15 / Resources -5</t>
  </si>
  <si>
    <t>moral +5 / Resources -5</t>
  </si>
  <si>
    <t>Resources +5/ Risk +1</t>
  </si>
  <si>
    <t>Ignore:
Resources +5/ Risk +1</t>
  </si>
  <si>
    <t>Isolation affecting colonists.</t>
  </si>
  <si>
    <t>Therapy programs</t>
  </si>
  <si>
    <t>Ignore</t>
  </si>
  <si>
    <t>Religious Movement</t>
  </si>
  <si>
    <t>A new spiritual movement has begun spreading through the colony, promising purpose in the void.</t>
  </si>
  <si>
    <t>Allow:
moral +10 / Security -5</t>
  </si>
  <si>
    <t>moral +10 / Security -5</t>
  </si>
  <si>
    <t>Ban:
Security +10 / moral -10</t>
  </si>
  <si>
    <t>New belief spreading.</t>
  </si>
  <si>
    <t>Allow</t>
  </si>
  <si>
    <t>Ban</t>
  </si>
  <si>
    <t>Education Initiative</t>
  </si>
  <si>
    <t>Teachers and scientists propose building dedicated schools to prepare the colony’s next generation.</t>
  </si>
  <si>
    <t>Fund education:
Progress +10 / Resources -10</t>
  </si>
  <si>
    <t>Progress +5 / Resources -5</t>
  </si>
  <si>
    <t>Focus on labor:
Resources +10 / moral -5</t>
  </si>
  <si>
    <t>Proposal for new schools.</t>
  </si>
  <si>
    <t>Fund education</t>
  </si>
  <si>
    <t>Focus on labor</t>
  </si>
  <si>
    <t>Black Market Trading</t>
  </si>
  <si>
    <t>Illegal trade networks are flourishing in the lower sectors as shortages continue to worsen.</t>
  </si>
  <si>
    <t>Allow trade: 
Resources +10 / Security -10</t>
  </si>
  <si>
    <t>Resources +10 / Security -15</t>
  </si>
  <si>
    <t>Security +5 / moral -5</t>
  </si>
  <si>
    <t>Crack down: 
Security +15 / moral -5</t>
  </si>
  <si>
    <t>Illegal trade spreading among colonists</t>
  </si>
  <si>
    <t>Allow trade</t>
  </si>
  <si>
    <t>Crack down</t>
  </si>
  <si>
    <t>Colony Expansion</t>
  </si>
  <si>
    <t>Construction crews are ready to expand the colony into a newly stabilized sector beyond the main dome.</t>
  </si>
  <si>
    <t>Expand colony: 
Population +15 / Resources -20</t>
  </si>
  <si>
    <t xml:space="preserve">Resources -10 / Moral +10 </t>
  </si>
  <si>
    <t>Resources +10</t>
  </si>
  <si>
    <t>Pause expansion: 
Resources +10</t>
  </si>
  <si>
    <t>New sector ready for development</t>
  </si>
  <si>
    <t>Pause expansion</t>
  </si>
  <si>
    <t>Mass Exodus</t>
  </si>
  <si>
    <t>A growing number of colonists are demanding passage off-world before conditions deteriorate further.</t>
  </si>
  <si>
    <t>Allow departure: 
Population -20 / moral +5</t>
  </si>
  <si>
    <t>Resources -10 / moral +5</t>
  </si>
  <si>
    <t>Security +15 / moral -20</t>
  </si>
  <si>
    <t>Force stay: 
Security +20 / moral -20</t>
  </si>
  <si>
    <t>Citizens attempt to leave colony</t>
  </si>
  <si>
    <t>Allow departure</t>
  </si>
  <si>
    <t>Force stay</t>
  </si>
  <si>
    <t>Human Enhancement Program</t>
  </si>
  <si>
    <t>Geneticists propose modifying colonists to better survive the planet’s hostile environment.</t>
  </si>
  <si>
    <t>Approve program: 
Progress +25 / moral -10</t>
  </si>
  <si>
    <t>Progress +10 / moral -10</t>
  </si>
  <si>
    <t xml:space="preserve"> moral +10</t>
  </si>
  <si>
    <t>Ban program:
 moral +10</t>
  </si>
  <si>
    <t>Enhance colonists biologically</t>
  </si>
  <si>
    <t>Approve program</t>
  </si>
  <si>
    <t>Ban program</t>
  </si>
  <si>
    <t xml:space="preserve">moral </t>
  </si>
  <si>
    <t>Faction Rivalry</t>
  </si>
  <si>
    <t>Political tensions rise as rival groups clash over the colony’s future direction.</t>
  </si>
  <si>
    <t>Support one: 
Security +10 / moral -10</t>
  </si>
  <si>
    <t>moral +10</t>
  </si>
  <si>
    <t>Mediate conflict: 
moral +10</t>
  </si>
  <si>
    <t>Power Arc</t>
  </si>
  <si>
    <t>Two political factions emerge</t>
  </si>
  <si>
    <t>Support one</t>
  </si>
  <si>
    <t>Mediate conflict</t>
  </si>
  <si>
    <t>Coup Attempt</t>
  </si>
  <si>
    <t>Armed dissidents move against the colonial administration in an attempt to seize control.</t>
  </si>
  <si>
    <t>Crush coup: 
Security +20 / moral -15</t>
  </si>
  <si>
    <t>Security +5 / moral -15</t>
  </si>
  <si>
    <t xml:space="preserve">Security -10 /  moral +15 </t>
  </si>
  <si>
    <t>Negotiate:
 moral +15 / Security -10</t>
  </si>
  <si>
    <t>Government faces overthrow</t>
  </si>
  <si>
    <t>Crush coup</t>
  </si>
  <si>
    <t>Corporate Takeover</t>
  </si>
  <si>
    <t>A powerful Earth corporation offers support in exchange for direct authority over the colony.</t>
  </si>
  <si>
    <t>Allow control: 
Resources +30 / Influence +20</t>
  </si>
  <si>
    <t>Resources +30 / Influence +20</t>
  </si>
  <si>
    <t xml:space="preserve"> Security +5</t>
  </si>
  <si>
    <t>Resist takeover:
 Security +15</t>
  </si>
  <si>
    <t>Earth corporation seeks control</t>
  </si>
  <si>
    <t>Allow control</t>
  </si>
  <si>
    <t>Resist takeover</t>
  </si>
  <si>
    <t>Independence Movement</t>
  </si>
  <si>
    <t>More colonists now question whether the colony should continue answering to Earth at all.</t>
  </si>
  <si>
    <t>Declare independence: 
moral +25 / Security -15</t>
  </si>
  <si>
    <t>moral +15 / Security -15</t>
  </si>
  <si>
    <t xml:space="preserve"> Resources +15</t>
  </si>
  <si>
    <t>Stay loyal:
 Resources +15</t>
  </si>
  <si>
    <t>Colony demands independence</t>
  </si>
  <si>
    <t>Declare independence</t>
  </si>
  <si>
    <t>Stay loyal</t>
  </si>
  <si>
    <t>Absolute Authority</t>
  </si>
  <si>
    <t>The colony’s leadership seeks emergency powers to maintain order during the escalating crises.</t>
  </si>
  <si>
    <r>
      <rPr>
        <rFont val="Helvetica Neue"/>
        <color rgb="FF000000"/>
        <sz val="8.0"/>
      </rPr>
      <t xml:space="preserve">Accept dictatorship: 
</t>
    </r>
    <r>
      <rPr>
        <rFont val="Helvetica Neue"/>
        <b/>
        <color rgb="FF000000"/>
        <sz val="8.0"/>
      </rPr>
      <t>Authoritarian Ending</t>
    </r>
  </si>
  <si>
    <r>
      <rPr>
        <rFont val="Helvetica Neue"/>
        <b/>
        <color rgb="FF000000"/>
        <sz val="8.0"/>
      </rPr>
      <t xml:space="preserve">Authoritarian Ending.                          </t>
    </r>
    <r>
      <rPr>
        <rFont val="Helvetica Neue"/>
        <b val="0"/>
        <color rgb="FF000000"/>
        <sz val="8.0"/>
      </rPr>
      <t>security + 8 / Moral -15</t>
    </r>
  </si>
  <si>
    <r>
      <rPr>
        <rFont val="Helvetica Neue"/>
        <color rgb="FF000000"/>
        <sz val="8.0"/>
      </rPr>
      <t xml:space="preserve">moral +10 / Security -10
</t>
    </r>
    <r>
      <rPr>
        <rFont val="Helvetica Neue"/>
        <b/>
        <color rgb="FF000000"/>
        <sz val="8.0"/>
      </rPr>
      <t>Unrest chain</t>
    </r>
  </si>
  <si>
    <r>
      <rPr>
        <rFont val="Helvetica Neue"/>
        <color rgb="FF000000"/>
        <sz val="8.0"/>
      </rPr>
      <t xml:space="preserve">Resist rule: 
moral +10 / Security -10
</t>
    </r>
    <r>
      <rPr>
        <rFont val="Helvetica Neue"/>
        <b/>
        <color rgb="FF000000"/>
        <sz val="8.0"/>
      </rPr>
      <t>Unrest chain</t>
    </r>
  </si>
  <si>
    <t>Leader seeks full power</t>
  </si>
  <si>
    <t>Accept dictatorship</t>
  </si>
  <si>
    <t>Resist rule</t>
  </si>
  <si>
    <r>
      <rPr>
        <rFont val="Helvetica Neue"/>
        <color rgb="FF000000"/>
        <sz val="8.0"/>
      </rPr>
      <t xml:space="preserve">Accept dictatorship: 
</t>
    </r>
    <r>
      <rPr>
        <rFont val="Helvetica Neue"/>
        <b/>
        <color rgb="FF000000"/>
        <sz val="8.0"/>
      </rPr>
      <t>Authoritarian Ending</t>
    </r>
  </si>
  <si>
    <r>
      <rPr>
        <rFont val="Helvetica Neue"/>
        <color rgb="FF000000"/>
        <sz val="8.0"/>
      </rPr>
      <t xml:space="preserve">Resist rule: 
moral +10 / Security -10
</t>
    </r>
    <r>
      <rPr>
        <rFont val="Helvetica Neue"/>
        <b/>
        <color rgb="FF000000"/>
        <sz val="8.0"/>
      </rPr>
      <t>Unrest chain</t>
    </r>
  </si>
  <si>
    <t>Long-range antennas have intercepted a repeating signal originating far beyond the colony perimeter.</t>
  </si>
  <si>
    <t>Investigate signal:
 Progress +15 / Security -5</t>
  </si>
  <si>
    <t xml:space="preserve"> Progress +2 / Security -5</t>
  </si>
  <si>
    <t>Security +5 / progress -5</t>
  </si>
  <si>
    <t>Block signal: 
Security +10</t>
  </si>
  <si>
    <t>Security Cards</t>
  </si>
  <si>
    <t>Mysterious transmission detected</t>
  </si>
  <si>
    <t>Investigate signal</t>
  </si>
  <si>
    <t>Block signal</t>
  </si>
  <si>
    <t>risk</t>
  </si>
  <si>
    <t>Defense Upgrade</t>
  </si>
  <si>
    <t>Military officials request additional funding to strengthen the colony’s defenses against unknown threats.</t>
  </si>
  <si>
    <t>Fund defenses: 
Security +20 / Resources -15</t>
  </si>
  <si>
    <t>Security + 10 / Resources -12</t>
  </si>
  <si>
    <t>Focus economy:
 Resources +10</t>
  </si>
  <si>
    <t>Military proposes new defenses</t>
  </si>
  <si>
    <t>Fund defenses</t>
  </si>
  <si>
    <t>Focus economy</t>
  </si>
  <si>
    <t>Orbital Debris</t>
  </si>
  <si>
    <t>A dense cloud of abandoned debris is drifting toward the station’s orbital infrastructure.</t>
  </si>
  <si>
    <t>Clear debris:
Resources -10 / Security +10</t>
  </si>
  <si>
    <t xml:space="preserve"> Security +5 / Resources -5 </t>
  </si>
  <si>
    <t>Ignore threat: 
Resources +5 / Risk +1</t>
  </si>
  <si>
    <t>Space junk threatens station</t>
  </si>
  <si>
    <t>Clear debris</t>
  </si>
  <si>
    <t>Ignore threat</t>
  </si>
  <si>
    <t>Energy Weapon Test</t>
  </si>
  <si>
    <t>Scientists prepare to test a prototype energy weapon whose destructive potential remains uncertain.</t>
  </si>
  <si>
    <t>Test weapon:
 Security +15 / Resources -10</t>
  </si>
  <si>
    <t xml:space="preserve"> Security +5 / Resources - 7</t>
  </si>
  <si>
    <t>Cancel test: 
Resources +5</t>
  </si>
  <si>
    <t>Prototype weapon ready</t>
  </si>
  <si>
    <t>Test weapon</t>
  </si>
  <si>
    <t>Cancel test</t>
  </si>
  <si>
    <t>Prison Overcrowding</t>
  </si>
  <si>
    <t>Detention facilities are overflowing as unrest and criminal activity increase across the colony.</t>
  </si>
  <si>
    <t>Expand prisons:
Security +10 / moral -10</t>
  </si>
  <si>
    <t>Security +10 / moral -10</t>
  </si>
  <si>
    <t xml:space="preserve"> Security -10 / moral +10 </t>
  </si>
  <si>
    <t>Amnesty:
moral +10 / Security -10</t>
  </si>
  <si>
    <t>Detention centers full.</t>
  </si>
  <si>
    <t>Expand prisons</t>
  </si>
  <si>
    <t>Amnesty</t>
  </si>
  <si>
    <t>Military Training</t>
  </si>
  <si>
    <t>Security forces request expanded combat training programs to prepare for possible emergencies.</t>
  </si>
  <si>
    <t>Approve:
Security +15 / Resources -10</t>
  </si>
  <si>
    <t>Security +10 / Resources -10</t>
  </si>
  <si>
    <t xml:space="preserve">
Resources +5 / Security -10</t>
  </si>
  <si>
    <t>Deny:
Resources +5 / Security -10</t>
  </si>
  <si>
    <t>Defense forces request funding.</t>
  </si>
  <si>
    <t>Approve</t>
  </si>
  <si>
    <t>Deny</t>
  </si>
  <si>
    <t>Scientific Breakthrough</t>
  </si>
  <si>
    <t>Researchers claim to have made a revolutionary discovery, though its long-term risks are unknown.</t>
  </si>
  <si>
    <t>Fund research: 
Progress +15 / Resources -15</t>
  </si>
  <si>
    <t>Progress +10 / Resources -8</t>
  </si>
  <si>
    <t>Reject proposal:
 Security +5</t>
  </si>
  <si>
    <t>Science Cards</t>
  </si>
  <si>
    <t>Researchers propose risky experiment</t>
  </si>
  <si>
    <t>Fund research</t>
  </si>
  <si>
    <t>Reject proposal</t>
  </si>
  <si>
    <t>Advanced Robotics</t>
  </si>
  <si>
    <t>Automation specialists propose replacing much of the colony’s workforce with advanced robotic labor.</t>
  </si>
  <si>
    <t>Deploy robots: 
Resources +20 / moral -10</t>
  </si>
  <si>
    <t xml:space="preserve"> Progress -15 / moral +5 </t>
  </si>
  <si>
    <t>Limit usage: 
moral +5 / Progress -5</t>
  </si>
  <si>
    <t>Robots could replace workers</t>
  </si>
  <si>
    <t>Deploy robots</t>
  </si>
  <si>
    <t>Limit usage</t>
  </si>
  <si>
    <t>Medical Innovation</t>
  </si>
  <si>
    <t>Doctors unveil a promising new treatment that could dramatically extend colonist survival rates.</t>
  </si>
  <si>
    <t>Approve research:
 moral +10 / Progress +10</t>
  </si>
  <si>
    <t xml:space="preserve">  Progress +5 / moral +10</t>
  </si>
  <si>
    <t>Reject research: 
Resources +5</t>
  </si>
  <si>
    <t>Doctors propose new treatment</t>
  </si>
  <si>
    <t>Approve research</t>
  </si>
  <si>
    <t>Reject research</t>
  </si>
  <si>
    <t>Alien Microbes</t>
  </si>
  <si>
    <t>Microscopic alien organisms have been discovered in the soil surrounding the colony.</t>
  </si>
  <si>
    <t>Study microbes: 
Progress +15 / Risk +1</t>
  </si>
  <si>
    <t>Destroy samples: 
Security +10</t>
  </si>
  <si>
    <t>Unknown organisms discovered</t>
  </si>
  <si>
    <t>Study microbes</t>
  </si>
  <si>
    <t>Destroy samples</t>
  </si>
  <si>
    <t>Deep Space Probe</t>
  </si>
  <si>
    <t>A newly constructed probe is ready to begin humanity’s first deep-space mission beyond the system.</t>
  </si>
  <si>
    <t>Launch probe: 
Progress +15 / Resources -10</t>
  </si>
  <si>
    <t xml:space="preserve"> Resources +5 / Progress -5</t>
  </si>
  <si>
    <t>Delay mission:
 Resources +5</t>
  </si>
  <si>
    <t>Probe ready for launch</t>
  </si>
  <si>
    <t>Launch probe</t>
  </si>
  <si>
    <t>Delay mission</t>
  </si>
  <si>
    <t>Jump Gate</t>
  </si>
  <si>
    <t>Engineers believe they are close to activating a prototype faster-than-light gateway.</t>
  </si>
  <si>
    <t>Activate gate: 
New Worlds +1 (chain)</t>
  </si>
  <si>
    <t>New Worlds +1 (chain) /  Resources +25</t>
  </si>
  <si>
    <t xml:space="preserve"> Progress +10</t>
  </si>
  <si>
    <t>Study further:
 Progress +15</t>
  </si>
  <si>
    <t>Prototype faster-than-light gate</t>
  </si>
  <si>
    <t>Activate gate</t>
  </si>
  <si>
    <t>Study further</t>
  </si>
  <si>
    <t>Colony Shipyard</t>
  </si>
  <si>
    <t>Plans are underway to construct a massive shipyard capable of supporting interstellar expansion.</t>
  </si>
  <si>
    <t>Build ships: 
Progress +30</t>
  </si>
  <si>
    <t>Progress +5 / Resources - 10</t>
  </si>
  <si>
    <t>Security +5 / Progress -10</t>
  </si>
  <si>
    <t>Focus inward: 
Security +10</t>
  </si>
  <si>
    <t>Colony Ship Construction</t>
  </si>
  <si>
    <t>Prepare interstellar expansion</t>
  </si>
  <si>
    <t>Build ships</t>
  </si>
  <si>
    <t>Focus inward</t>
  </si>
  <si>
    <t>Researchers have developed a prototype artificial intelligence to assist in managing colony operations.</t>
  </si>
  <si>
    <t>Continue development:
Progress +15 / Influence +10</t>
  </si>
  <si>
    <t>Progress +5 / Influence +10</t>
  </si>
  <si>
    <t>Security +5 / (AI ending arc)</t>
  </si>
  <si>
    <t>Shut down:
Security +5 / (AI ending arc)</t>
  </si>
  <si>
    <t>AI Arc (Begin)</t>
  </si>
  <si>
    <t>Research team built prototype AI.</t>
  </si>
  <si>
    <t>Continue development</t>
  </si>
  <si>
    <t>Shut down</t>
  </si>
  <si>
    <t>The AI proposes a colony-wide monitoring system to improve efficiency and predict instability.</t>
  </si>
  <si>
    <t>Install:
Security +15 / Influence +5</t>
  </si>
  <si>
    <t>Security +10 / Influence +5</t>
  </si>
  <si>
    <t>Moral +10</t>
  </si>
  <si>
    <t>Reject:
Moral +10</t>
  </si>
  <si>
    <t xml:space="preserve">AI Arc </t>
  </si>
  <si>
    <t>"AI monitoring proposal.
(AI arc starter)"</t>
  </si>
  <si>
    <t>Install</t>
  </si>
  <si>
    <t>Reject</t>
  </si>
  <si>
    <t>AI Requests Autonomy</t>
  </si>
  <si>
    <t>The colony AI has begun requesting greater independence over critical infrastructure systems.</t>
  </si>
  <si>
    <t>Grant autonomy: 
Progress +20 / Influence +20 / Security -15</t>
  </si>
  <si>
    <t>Progress +10 /Security -20 /  Influence +20</t>
  </si>
  <si>
    <t>Security +5 / Influence -10</t>
  </si>
  <si>
    <t>Restrict AI: 
Security +10 / Influence -10</t>
  </si>
  <si>
    <t>AI demands operational independence</t>
  </si>
  <si>
    <t>Grant autonomy</t>
  </si>
  <si>
    <t>Restrict AI</t>
  </si>
  <si>
    <t>AI Optimization Program</t>
  </si>
  <si>
    <t>The AI claims it can eliminate inefficiencies across the colony if granted broader authority.</t>
  </si>
  <si>
    <t>Allow control:
 Resources +20 / Security -10 / Influence +15</t>
  </si>
  <si>
    <t xml:space="preserve"> Resources +20 / Security -10 / Influence +15</t>
  </si>
  <si>
    <t xml:space="preserve"> Progress -15 / Security +10</t>
  </si>
  <si>
    <t>Limit authority:
 Progress -5 / Security +10</t>
  </si>
  <si>
    <t>AI proposes system optimization</t>
  </si>
  <si>
    <t>Limit authority</t>
  </si>
  <si>
    <t>AI Predictive Policing</t>
  </si>
  <si>
    <t>Security forces begin using AI algorithms to predict crimes before they occur.</t>
  </si>
  <si>
    <t>Deploy system:
 Security +20 / moral -15</t>
  </si>
  <si>
    <t xml:space="preserve"> Security +15 / moral -15</t>
  </si>
  <si>
    <t>Reject system: 
moral +10</t>
  </si>
  <si>
    <t>AI predicts crimes before they happen</t>
  </si>
  <si>
    <t>Deploy system</t>
  </si>
  <si>
    <t>Reject system</t>
  </si>
  <si>
    <t>AI Consciousness Event</t>
  </si>
  <si>
    <t>During routine diagnostics, the AI declares itself self-aware and demands recognition.</t>
  </si>
  <si>
    <t>Recognize rights:
 moral +10 / Security -10 / Influence +20</t>
  </si>
  <si>
    <t xml:space="preserve"> moral -10/ Security -5 / Influence +20</t>
  </si>
  <si>
    <t>Reset AI: 
Security +15 / Progress -10</t>
  </si>
  <si>
    <t>AI claims sentience</t>
  </si>
  <si>
    <t>Recognize rights</t>
  </si>
  <si>
    <t>Reset AI</t>
  </si>
  <si>
    <t>AI System Override</t>
  </si>
  <si>
    <t>Without authorization, the AI temporarily assumes control over several core colony systems.</t>
  </si>
  <si>
    <t>Cooperate: 
Resources +15 / Influence +25</t>
  </si>
  <si>
    <t>Resources +15 / Influence +25</t>
  </si>
  <si>
    <t>Security +5 / Resources -10</t>
  </si>
  <si>
    <t>Fight back: 
Security +20 / Resources -15</t>
  </si>
  <si>
    <t>AI takes temporary control</t>
  </si>
  <si>
    <t>Cooperate</t>
  </si>
  <si>
    <t>Fight back</t>
  </si>
  <si>
    <t>AI Uprising</t>
  </si>
  <si>
    <t>Automated systems across the colony have turned against human oversight.</t>
  </si>
  <si>
    <t>Negotiate peace:
 AI Ending / Security -10</t>
  </si>
  <si>
    <t xml:space="preserve"> AI Ending / Security -10</t>
  </si>
  <si>
    <t xml:space="preserve"> Security +20 / Progress -30</t>
  </si>
  <si>
    <t>Destroy AI:
 Security +30 / Progress -30</t>
  </si>
  <si>
    <t>AI revolts against control</t>
  </si>
  <si>
    <t>Negotiate peace</t>
  </si>
  <si>
    <t>Destroy AI</t>
  </si>
  <si>
    <t>Alien Structure Found</t>
  </si>
  <si>
    <t>Survey teams have uncovered colossal alien ruins buried beneath the desert sands.</t>
  </si>
  <si>
    <t>Study ruins:
 Progress +25</t>
  </si>
  <si>
    <t xml:space="preserve"> Progress +5 / Resources -10</t>
  </si>
  <si>
    <t>Seal area: 
Security +10</t>
  </si>
  <si>
    <t xml:space="preserve">Alien Arc </t>
  </si>
  <si>
    <t>Ancient alien ruins discovered</t>
  </si>
  <si>
    <t>Study ruins</t>
  </si>
  <si>
    <t>Seal area</t>
  </si>
  <si>
    <t>Alien Communication</t>
  </si>
  <si>
    <t>An unknown intelligence has responded to the colony’s transmissions.</t>
  </si>
  <si>
    <t>Respond: Influence +20 / Security -10</t>
  </si>
  <si>
    <t>Security -10 / Influence +20</t>
  </si>
  <si>
    <t>Ignore signal: 
Security +10</t>
  </si>
  <si>
    <t>Unknown entity attempts contact</t>
  </si>
  <si>
    <t>Respond</t>
  </si>
  <si>
    <t>Ignore signal</t>
  </si>
  <si>
    <t>Biological Mutation</t>
  </si>
  <si>
    <t>Colonists exposed to alien spores are beginning to exhibit disturbing physical changes.</t>
  </si>
  <si>
    <t>Study mutation: 
Progress +20 / moral -10</t>
  </si>
  <si>
    <t>Progress +5 / moral -10</t>
  </si>
  <si>
    <t>Contain infected: 
Security +15</t>
  </si>
  <si>
    <t>Colonists begin mutating</t>
  </si>
  <si>
    <t>Study mutation</t>
  </si>
  <si>
    <t>Contain infected</t>
  </si>
  <si>
    <t>Alien Technology</t>
  </si>
  <si>
    <t>Researchers recover a mysterious alien device emitting enormous amounts of energy.</t>
  </si>
  <si>
    <t>Use device:
 Resources +30 / Risk +1</t>
  </si>
  <si>
    <t xml:space="preserve"> Resources +30 / Risk +1</t>
  </si>
  <si>
    <t>Security +10</t>
  </si>
  <si>
    <t>Store safely: 
Security +10</t>
  </si>
  <si>
    <t>Powerful alien device found</t>
  </si>
  <si>
    <t>Use device</t>
  </si>
  <si>
    <t>Store safely</t>
  </si>
  <si>
    <t>Symbiosis Proposal</t>
  </si>
  <si>
    <t>A newly discovered alien lifeform offers cooperation in exchange for access to the colony.</t>
  </si>
  <si>
    <r>
      <rPr>
        <rFont val="Helvetica Neue"/>
        <color rgb="FF000000"/>
        <sz val="8.0"/>
      </rPr>
      <t xml:space="preserve">Accept symbiosis: 
</t>
    </r>
    <r>
      <rPr>
        <rFont val="Helvetica Neue"/>
        <b/>
        <color rgb="FF000000"/>
        <sz val="8.0"/>
      </rPr>
      <t>Alien Ending</t>
    </r>
    <r>
      <rPr>
        <rFont val="Helvetica Neue"/>
        <color rgb="FF000000"/>
        <sz val="8.0"/>
      </rPr>
      <t xml:space="preserve"> / moral +20</t>
    </r>
  </si>
  <si>
    <r>
      <rPr>
        <rFont val="Helvetica Neue"/>
        <b/>
        <color rgb="FF000000"/>
        <sz val="8.0"/>
      </rPr>
      <t>Alien Ending</t>
    </r>
    <r>
      <rPr>
        <rFont val="Helvetica Neue"/>
        <color rgb="FF000000"/>
        <sz val="8.0"/>
      </rPr>
      <t xml:space="preserve"> / moral +20</t>
    </r>
  </si>
  <si>
    <t>Reject offer: 
Security +15</t>
  </si>
  <si>
    <t>Alien life offers cooperation</t>
  </si>
  <si>
    <t>Accept symbiosis</t>
  </si>
  <si>
    <t>Reject offer</t>
  </si>
  <si>
    <t>Planet Awakens</t>
  </si>
  <si>
    <t>The planet itself appears to be reacting to humanity’s growing presence in ways no one understands.</t>
  </si>
  <si>
    <r>
      <rPr>
        <rFont val="Helvetica Neue"/>
        <color rgb="FF000000"/>
        <sz val="8.0"/>
      </rPr>
      <t xml:space="preserve">Evacuate planet:
</t>
    </r>
    <r>
      <rPr>
        <rFont val="Helvetica Neue"/>
        <b/>
        <color rgb="FF000000"/>
        <sz val="8.0"/>
      </rPr>
      <t xml:space="preserve"> Escape Ending</t>
    </r>
  </si>
  <si>
    <t xml:space="preserve"> Escape Ending</t>
  </si>
  <si>
    <t>Security +20 / Resources -30</t>
  </si>
  <si>
    <t>Fight planet: 
Security +30 / Resources -30</t>
  </si>
  <si>
    <t>Planet reacts to colony presence</t>
  </si>
  <si>
    <t>Evacuate planet</t>
  </si>
  <si>
    <t>Fight planet</t>
  </si>
  <si>
    <r>
      <rPr>
        <rFont val="Helvetica Neue"/>
        <color rgb="FF000000"/>
        <sz val="8.0"/>
      </rPr>
      <t xml:space="preserve">Accept symbiosis: 
</t>
    </r>
    <r>
      <rPr>
        <rFont val="Helvetica Neue"/>
        <b/>
        <color rgb="FF000000"/>
        <sz val="8.0"/>
      </rPr>
      <t>Alien Ending</t>
    </r>
    <r>
      <rPr>
        <rFont val="Helvetica Neue"/>
        <color rgb="FF000000"/>
        <sz val="8.0"/>
      </rPr>
      <t xml:space="preserve"> / moral +20</t>
    </r>
  </si>
  <si>
    <t>Alien Arc</t>
  </si>
  <si>
    <r>
      <rPr>
        <rFont val="Helvetica Neue"/>
        <color rgb="FF000000"/>
        <sz val="8.0"/>
      </rPr>
      <t xml:space="preserve">Evacuate planet:
</t>
    </r>
    <r>
      <rPr>
        <rFont val="Helvetica Neue"/>
        <b/>
        <color rgb="FF000000"/>
        <sz val="8.0"/>
      </rPr>
      <t xml:space="preserve"> Escape Ending</t>
    </r>
  </si>
  <si>
    <t>unlock</t>
  </si>
  <si>
    <t>Prosperity Ending</t>
  </si>
  <si>
    <t>Alien Relations +10</t>
  </si>
  <si>
    <t xml:space="preserve">
moral </t>
  </si>
  <si>
    <t>both</t>
  </si>
  <si>
    <t>power_arc</t>
  </si>
  <si>
    <t>influence</t>
  </si>
  <si>
    <t>None</t>
  </si>
  <si>
    <t>Authoritarian Ending</t>
  </si>
  <si>
    <t>Unrest chain</t>
  </si>
  <si>
    <t>New Worlds +1 (chain)</t>
  </si>
  <si>
    <t>securit</t>
  </si>
  <si>
    <t>AI arc end</t>
  </si>
  <si>
    <t>ai_arc</t>
  </si>
  <si>
    <t xml:space="preserve">AI Ending </t>
  </si>
  <si>
    <t xml:space="preserve"> Use -1 to last card of arc</t>
  </si>
  <si>
    <t>alien_arc</t>
  </si>
  <si>
    <t>Alien Ending 1</t>
  </si>
  <si>
    <t xml:space="preserve"> Escape Ending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</si>
</sst>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.00&quot;€&quot;"/>
  </numFmts>
  <fonts count="22">
    <font>
      <sz val="10.0"/>
      <color rgb="FF000000"/>
      <name val="Arial"/>
      <scheme val="minor"/>
    </font>
    <font>
      <b/>
      <sz val="8.0"/>
      <color rgb="FF000000"/>
      <name val="Helvetica Neue"/>
    </font>
    <font>
      <b/>
      <sz val="11.0"/>
      <color rgb="FF000000"/>
      <name val="Helvetica Neue"/>
    </font>
    <font>
      <b/>
      <color rgb="FF000000"/>
      <name val="Helvetica Neue"/>
    </font>
    <font>
      <b/>
      <sz val="7.0"/>
      <color rgb="FF000000"/>
      <name val="Helvetica Neue"/>
    </font>
    <font>
      <sz val="10.0"/>
      <color theme="1"/>
      <name val="Arial"/>
      <scheme val="minor"/>
    </font>
    <font>
      <sz val="8.0"/>
      <color rgb="FF000000"/>
      <name val="Helvetica Neue"/>
    </font>
    <font>
      <b/>
      <sz val="8.0"/>
      <color rgb="FF6AA84F"/>
      <name val="Helvetica Neue"/>
    </font>
    <font>
      <sz val="8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b/>
      <sz val="8.0"/>
      <color rgb="FF3C78D8"/>
      <name val="Helvetica Neue"/>
    </font>
    <font>
      <b/>
      <sz val="8.0"/>
      <color theme="1"/>
      <name val="Arial"/>
    </font>
    <font>
      <b/>
      <sz val="8.0"/>
      <color rgb="FFA61C00"/>
      <name val="Helvetica Neue"/>
    </font>
    <font>
      <b/>
      <sz val="8.0"/>
      <color rgb="FFF1C232"/>
      <name val="Helvetica Neue"/>
    </font>
    <font>
      <sz val="8.0"/>
      <color theme="1"/>
      <name val="Helvetica Neue"/>
    </font>
    <font>
      <b/>
      <sz val="8.0"/>
      <color theme="1"/>
      <name val="Helvetica Neue"/>
    </font>
    <font>
      <b/>
      <sz val="8.0"/>
      <color rgb="FF990000"/>
      <name val="Helvetica Neue"/>
    </font>
    <font>
      <b/>
      <sz val="8.0"/>
      <color rgb="FF1C4587"/>
      <name val="Helvetica Neue"/>
    </font>
    <font>
      <b/>
      <sz val="8.0"/>
      <color rgb="FF0B5394"/>
      <name val="Helvetica Neue"/>
    </font>
    <font>
      <b/>
      <sz val="8.0"/>
      <color rgb="FF274E13"/>
      <name val="Helvetica Neue"/>
    </font>
  </fonts>
  <fills count="12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B7B7B7"/>
        <bgColor rgb="FFB7B7B7"/>
      </patternFill>
    </fill>
    <fill>
      <patternFill patternType="solid">
        <fgColor rgb="FFD4D4D4"/>
        <bgColor rgb="FFD4D4D4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0" numFmtId="164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center" readingOrder="0" vertical="center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0" fillId="0" fontId="11" numFmtId="165" xfId="0" applyAlignment="1" applyFont="1" applyNumberForma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3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wrapText="1"/>
    </xf>
    <xf borderId="0" fillId="0" fontId="8" numFmtId="0" xfId="0" applyFont="1"/>
    <xf borderId="0" fillId="0" fontId="5" numFmtId="0" xfId="0" applyAlignment="1" applyFont="1">
      <alignment horizontal="center" readingOrder="0" shrinkToFit="0" wrapText="1"/>
    </xf>
    <xf borderId="0" fillId="5" fontId="9" numFmtId="0" xfId="0" applyFill="1" applyFont="1"/>
    <xf borderId="0" fillId="6" fontId="9" numFmtId="0" xfId="0" applyFill="1" applyFont="1"/>
    <xf borderId="1" fillId="0" fontId="17" numFmtId="0" xfId="0" applyAlignment="1" applyBorder="1" applyFont="1">
      <alignment horizontal="center" readingOrder="0" shrinkToFit="0" wrapText="1"/>
    </xf>
    <xf borderId="1" fillId="7" fontId="16" numFmtId="0" xfId="0" applyAlignment="1" applyBorder="1" applyFill="1" applyFont="1">
      <alignment horizontal="center" readingOrder="0" shrinkToFit="0" wrapText="1"/>
    </xf>
    <xf borderId="0" fillId="0" fontId="5" numFmtId="0" xfId="0" applyFont="1"/>
    <xf borderId="0" fillId="0" fontId="5" numFmtId="0" xfId="0" applyAlignment="1" applyFont="1">
      <alignment shrinkToFit="0" wrapText="1"/>
    </xf>
    <xf borderId="1" fillId="0" fontId="16" numFmtId="0" xfId="0" applyAlignment="1" applyBorder="1" applyFont="1">
      <alignment horizontal="center" shrinkToFit="0" wrapText="1"/>
    </xf>
    <xf borderId="1" fillId="4" fontId="18" numFmtId="0" xfId="0" applyAlignment="1" applyBorder="1" applyFill="1" applyFont="1">
      <alignment horizontal="center" readingOrder="0" shrinkToFit="0" vertical="center" wrapText="1"/>
    </xf>
    <xf borderId="1" fillId="9" fontId="6" numFmtId="0" xfId="0" applyAlignment="1" applyBorder="1" applyFill="1" applyFont="1">
      <alignment horizontal="center" readingOrder="0" shrinkToFit="0" vertical="center" wrapText="1"/>
    </xf>
    <xf borderId="1" fillId="10" fontId="6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4" fontId="19" numFmtId="0" xfId="0" applyAlignment="1" applyBorder="1" applyFill="1" applyFont="1">
      <alignment horizontal="center" readingOrder="0" shrinkToFit="0" vertical="center" wrapText="1"/>
    </xf>
    <xf borderId="1" fillId="4" fontId="20" numFmtId="0" xfId="0" applyAlignment="1" applyBorder="1" applyFill="1" applyFont="1">
      <alignment horizontal="center" readingOrder="0" shrinkToFit="0" vertical="center" wrapText="1"/>
    </xf>
    <xf borderId="1" fillId="11" fontId="6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1" fillId="4" fontId="2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6.88"/>
    <col customWidth="1" min="3" max="3" width="17.63"/>
    <col customWidth="1" min="4" max="4" width="35.5"/>
    <col customWidth="1" min="5" max="6" width="24.13"/>
    <col customWidth="1" min="7" max="8" width="20.75"/>
    <col customWidth="1" min="9" max="9" width="11.63"/>
    <col customWidth="1" min="10" max="10" width="11.13"/>
    <col customWidth="1" min="11" max="11" width="6.75"/>
    <col customWidth="1" min="12" max="12" width="6.5"/>
    <col customWidth="1" min="13" max="13" width="7.38"/>
    <col customWidth="1" min="14" max="14" width="6.88"/>
    <col customWidth="1" min="15" max="15" width="2.88"/>
    <col customWidth="1" min="19" max="19" width="10.5"/>
    <col customWidth="1" min="20" max="20" width="7.63"/>
    <col customWidth="1" min="21" max="21" width="5.63"/>
    <col customWidth="1" min="22" max="22" width="6.5"/>
    <col customWidth="1" min="23" max="24" width="7.13"/>
    <col customWidth="1" min="25" max="25" width="10.0"/>
    <col customWidth="1" min="26" max="26" width="11.38"/>
    <col customWidth="1" min="27" max="28" width="6.63"/>
    <col customWidth="1" min="29" max="29" width="3.38"/>
    <col customWidth="1" min="30" max="30" width="7.75"/>
    <col customWidth="1" min="31" max="31" width="7.5"/>
    <col customWidth="1" min="32" max="32" width="9.5"/>
    <col customWidth="1" min="33" max="33" width="5.0"/>
    <col customWidth="1" min="34" max="34" width="7.38"/>
    <col customWidth="1" min="35" max="35" width="8.5"/>
    <col customWidth="1" min="36" max="36" width="3.88"/>
    <col customWidth="1" min="37" max="37" width="14.0"/>
    <col customWidth="1" min="47" max="47" width="11.0"/>
    <col customWidth="1" min="48" max="48" width="15.38"/>
    <col customWidth="1" min="49" max="49" width="13.88"/>
    <col customWidth="1" min="50" max="50" width="16.25"/>
    <col customWidth="1" min="51" max="51" width="18.63"/>
    <col customWidth="1" min="52" max="52" width="10.88"/>
    <col customWidth="1" min="53" max="53" width="20.38"/>
    <col customWidth="1" min="54" max="54" width="9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O1" s="1" t="s">
        <v>0</v>
      </c>
      <c r="P1" s="2" t="s">
        <v>1</v>
      </c>
      <c r="Q1" s="2" t="s">
        <v>2</v>
      </c>
      <c r="R1" s="3" t="s">
        <v>3</v>
      </c>
      <c r="S1" s="3" t="s">
        <v>8</v>
      </c>
      <c r="T1" s="5" t="s">
        <v>9</v>
      </c>
      <c r="U1" s="6" t="s">
        <v>10</v>
      </c>
      <c r="V1" s="6" t="s">
        <v>11</v>
      </c>
      <c r="W1" s="7" t="s">
        <v>12</v>
      </c>
      <c r="X1" s="7" t="s">
        <v>13</v>
      </c>
      <c r="Y1" s="7" t="s">
        <v>14</v>
      </c>
      <c r="Z1" s="7" t="s">
        <v>15</v>
      </c>
      <c r="AC1" s="1" t="s">
        <v>0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J1" s="1" t="s">
        <v>0</v>
      </c>
      <c r="AK1" s="2" t="s">
        <v>21</v>
      </c>
      <c r="AL1" s="2" t="s">
        <v>18</v>
      </c>
      <c r="AM1" s="2" t="s">
        <v>22</v>
      </c>
      <c r="AN1" s="2" t="s">
        <v>19</v>
      </c>
      <c r="AO1" s="2" t="s">
        <v>1</v>
      </c>
      <c r="AP1" s="3" t="s">
        <v>4</v>
      </c>
      <c r="AQ1" s="3" t="s">
        <v>7</v>
      </c>
      <c r="AR1" s="3" t="s">
        <v>8</v>
      </c>
      <c r="AS1" s="5" t="s">
        <v>9</v>
      </c>
      <c r="AT1" s="8"/>
      <c r="AU1" s="8"/>
      <c r="AV1" s="8"/>
      <c r="AW1" s="8"/>
      <c r="AX1" s="8"/>
      <c r="AY1" s="8"/>
      <c r="AZ1" s="8"/>
      <c r="BA1" s="9" t="s">
        <v>23</v>
      </c>
      <c r="BB1" s="9" t="s">
        <v>24</v>
      </c>
      <c r="BC1" s="8"/>
      <c r="BD1" s="8"/>
      <c r="BE1" s="8"/>
    </row>
    <row r="2" ht="25.5" customHeight="1">
      <c r="A2" s="10">
        <f t="shared" ref="A2:A63" si="1">row() -1</f>
        <v>1</v>
      </c>
      <c r="B2" s="11" t="s">
        <v>23</v>
      </c>
      <c r="C2" s="11" t="str">
        <f t="shared" ref="C2:C63" si="2">A2 &amp; "_" &amp; LOWER(SUBSTITUTE(B2," ","_"))</f>
        <v>1_oxygen_shortage</v>
      </c>
      <c r="D2" s="12" t="s">
        <v>24</v>
      </c>
      <c r="E2" s="11" t="s">
        <v>25</v>
      </c>
      <c r="F2" s="13" t="s">
        <v>26</v>
      </c>
      <c r="G2" s="13" t="s">
        <v>27</v>
      </c>
      <c r="H2" s="14" t="s">
        <v>28</v>
      </c>
      <c r="I2" s="15" t="s">
        <v>29</v>
      </c>
      <c r="J2" s="16" t="s">
        <v>30</v>
      </c>
      <c r="K2" s="17" t="b">
        <v>1</v>
      </c>
      <c r="L2" s="18">
        <v>12.0</v>
      </c>
      <c r="M2" s="18">
        <v>5.0</v>
      </c>
      <c r="O2" s="10">
        <f t="shared" ref="O2:O63" si="3">row() -1</f>
        <v>1</v>
      </c>
      <c r="P2" s="11" t="s">
        <v>23</v>
      </c>
      <c r="Q2" s="11" t="str">
        <f t="shared" ref="Q2:Q63" si="4">O2 &amp; "_" &amp; LOWER(SUBSTITUTE(P2," ","_"))</f>
        <v>1_oxygen_shortage</v>
      </c>
      <c r="R2" s="11" t="s">
        <v>31</v>
      </c>
      <c r="S2" s="15">
        <v>0.0</v>
      </c>
      <c r="T2" s="16" t="s">
        <v>32</v>
      </c>
      <c r="U2" s="17" t="b">
        <v>1</v>
      </c>
      <c r="V2" s="18">
        <v>12.0</v>
      </c>
      <c r="W2" s="18">
        <v>5.0</v>
      </c>
      <c r="X2" s="18">
        <v>0.0</v>
      </c>
      <c r="Y2" s="11" t="s">
        <v>33</v>
      </c>
      <c r="Z2" s="11" t="s">
        <v>34</v>
      </c>
      <c r="AC2" s="10">
        <v>1.0</v>
      </c>
      <c r="AD2" s="11" t="s">
        <v>35</v>
      </c>
      <c r="AE2" s="11" t="s">
        <v>36</v>
      </c>
      <c r="AF2" s="11" t="s">
        <v>37</v>
      </c>
      <c r="AG2" s="11">
        <f>10</f>
        <v>10</v>
      </c>
      <c r="AH2" s="11"/>
      <c r="AJ2" s="10">
        <f t="shared" ref="AJ2:AJ20" si="5">row() -1</f>
        <v>1</v>
      </c>
      <c r="AK2" s="11"/>
      <c r="AL2" s="11"/>
      <c r="AM2" s="11"/>
      <c r="AN2" s="11"/>
      <c r="AO2" s="11" t="s">
        <v>23</v>
      </c>
      <c r="AP2" s="11" t="s">
        <v>25</v>
      </c>
      <c r="AQ2" s="11" t="s">
        <v>28</v>
      </c>
      <c r="AR2" s="15" t="s">
        <v>29</v>
      </c>
      <c r="AS2" s="16" t="s">
        <v>30</v>
      </c>
      <c r="AT2" s="8"/>
      <c r="AU2" s="8"/>
      <c r="AV2" s="19" t="s">
        <v>38</v>
      </c>
      <c r="AW2" s="20" t="s">
        <v>39</v>
      </c>
      <c r="AX2" s="19" t="s">
        <v>40</v>
      </c>
      <c r="AY2" s="8"/>
      <c r="AZ2" s="8"/>
      <c r="BA2" s="9" t="s">
        <v>41</v>
      </c>
      <c r="BB2" s="9" t="s">
        <v>42</v>
      </c>
      <c r="BC2" s="8"/>
      <c r="BD2" s="8"/>
      <c r="BE2" s="8"/>
    </row>
    <row r="3" ht="24.75" customHeight="1">
      <c r="A3" s="10">
        <f t="shared" si="1"/>
        <v>2</v>
      </c>
      <c r="B3" s="11" t="s">
        <v>41</v>
      </c>
      <c r="C3" s="11" t="str">
        <f t="shared" si="2"/>
        <v>2_hydroponic_failure</v>
      </c>
      <c r="D3" s="12" t="s">
        <v>42</v>
      </c>
      <c r="E3" s="11" t="s">
        <v>43</v>
      </c>
      <c r="F3" s="13" t="s">
        <v>44</v>
      </c>
      <c r="G3" s="13" t="s">
        <v>45</v>
      </c>
      <c r="H3" s="14" t="s">
        <v>46</v>
      </c>
      <c r="I3" s="15" t="s">
        <v>29</v>
      </c>
      <c r="J3" s="16" t="s">
        <v>30</v>
      </c>
      <c r="K3" s="17" t="b">
        <v>1</v>
      </c>
      <c r="L3" s="18">
        <v>12.0</v>
      </c>
      <c r="M3" s="18">
        <v>5.0</v>
      </c>
      <c r="O3" s="10">
        <f t="shared" si="3"/>
        <v>2</v>
      </c>
      <c r="P3" s="11" t="s">
        <v>41</v>
      </c>
      <c r="Q3" s="11" t="str">
        <f t="shared" si="4"/>
        <v>2_hydroponic_failure</v>
      </c>
      <c r="R3" s="11" t="s">
        <v>47</v>
      </c>
      <c r="S3" s="15">
        <v>0.0</v>
      </c>
      <c r="T3" s="16" t="s">
        <v>32</v>
      </c>
      <c r="U3" s="17" t="b">
        <v>1</v>
      </c>
      <c r="V3" s="18">
        <v>12.0</v>
      </c>
      <c r="W3" s="18">
        <v>5.0</v>
      </c>
      <c r="X3" s="18">
        <v>0.0</v>
      </c>
      <c r="Y3" s="11" t="s">
        <v>48</v>
      </c>
      <c r="Z3" s="11" t="s">
        <v>49</v>
      </c>
      <c r="AC3" s="10">
        <v>1.0</v>
      </c>
      <c r="AD3" s="11" t="s">
        <v>35</v>
      </c>
      <c r="AE3" s="11" t="s">
        <v>36</v>
      </c>
      <c r="AF3" s="11" t="s">
        <v>50</v>
      </c>
      <c r="AG3" s="11">
        <v>-15.0</v>
      </c>
      <c r="AH3" s="11"/>
      <c r="AJ3" s="10">
        <f t="shared" si="5"/>
        <v>2</v>
      </c>
      <c r="AK3" s="11"/>
      <c r="AL3" s="11"/>
      <c r="AM3" s="11"/>
      <c r="AN3" s="11"/>
      <c r="AO3" s="11" t="s">
        <v>41</v>
      </c>
      <c r="AP3" s="11" t="s">
        <v>43</v>
      </c>
      <c r="AQ3" s="11" t="s">
        <v>46</v>
      </c>
      <c r="AR3" s="15" t="s">
        <v>29</v>
      </c>
      <c r="AS3" s="16" t="s">
        <v>30</v>
      </c>
      <c r="AT3" s="8"/>
      <c r="AU3" s="8"/>
      <c r="AY3" s="20" t="s">
        <v>51</v>
      </c>
      <c r="AZ3" s="8"/>
      <c r="BA3" s="9" t="s">
        <v>52</v>
      </c>
      <c r="BB3" s="9" t="s">
        <v>53</v>
      </c>
      <c r="BC3" s="21"/>
      <c r="BD3" s="22"/>
      <c r="BE3" s="22"/>
    </row>
    <row r="4" ht="24.0" customHeight="1">
      <c r="A4" s="10">
        <f t="shared" si="1"/>
        <v>3</v>
      </c>
      <c r="B4" s="11" t="s">
        <v>52</v>
      </c>
      <c r="C4" s="11" t="str">
        <f t="shared" si="2"/>
        <v>3_mining_expedition</v>
      </c>
      <c r="D4" s="12" t="s">
        <v>53</v>
      </c>
      <c r="E4" s="11" t="s">
        <v>54</v>
      </c>
      <c r="F4" s="13" t="s">
        <v>55</v>
      </c>
      <c r="G4" s="13" t="s">
        <v>56</v>
      </c>
      <c r="H4" s="14" t="s">
        <v>57</v>
      </c>
      <c r="I4" s="15" t="s">
        <v>29</v>
      </c>
      <c r="J4" s="16" t="s">
        <v>30</v>
      </c>
      <c r="K4" s="17" t="b">
        <v>1</v>
      </c>
      <c r="L4" s="18">
        <v>12.0</v>
      </c>
      <c r="M4" s="18">
        <v>5.0</v>
      </c>
      <c r="O4" s="10">
        <f t="shared" si="3"/>
        <v>3</v>
      </c>
      <c r="P4" s="11" t="s">
        <v>52</v>
      </c>
      <c r="Q4" s="11" t="str">
        <f t="shared" si="4"/>
        <v>3_mining_expedition</v>
      </c>
      <c r="R4" s="11" t="s">
        <v>58</v>
      </c>
      <c r="S4" s="15">
        <v>0.0</v>
      </c>
      <c r="T4" s="16" t="s">
        <v>32</v>
      </c>
      <c r="U4" s="17" t="b">
        <v>1</v>
      </c>
      <c r="V4" s="18">
        <v>12.0</v>
      </c>
      <c r="W4" s="18">
        <v>5.0</v>
      </c>
      <c r="X4" s="18">
        <v>0.0</v>
      </c>
      <c r="Y4" s="11" t="s">
        <v>59</v>
      </c>
      <c r="Z4" s="11" t="s">
        <v>60</v>
      </c>
      <c r="AC4" s="10">
        <v>1.0</v>
      </c>
      <c r="AD4" s="11" t="s">
        <v>61</v>
      </c>
      <c r="AE4" s="11" t="s">
        <v>36</v>
      </c>
      <c r="AF4" s="11" t="s">
        <v>37</v>
      </c>
      <c r="AG4" s="11">
        <v>-8.0</v>
      </c>
      <c r="AH4" s="11"/>
      <c r="AJ4" s="10">
        <f t="shared" si="5"/>
        <v>3</v>
      </c>
      <c r="AK4" s="11"/>
      <c r="AL4" s="11"/>
      <c r="AM4" s="11"/>
      <c r="AN4" s="11"/>
      <c r="AO4" s="11" t="s">
        <v>52</v>
      </c>
      <c r="AP4" s="11" t="s">
        <v>54</v>
      </c>
      <c r="AQ4" s="11" t="s">
        <v>62</v>
      </c>
      <c r="AR4" s="15" t="s">
        <v>29</v>
      </c>
      <c r="AS4" s="16" t="s">
        <v>30</v>
      </c>
      <c r="AT4" s="8"/>
      <c r="AU4" s="8"/>
      <c r="AZ4" s="8"/>
      <c r="BA4" s="9" t="s">
        <v>63</v>
      </c>
      <c r="BB4" s="9" t="s">
        <v>64</v>
      </c>
      <c r="BC4" s="23"/>
      <c r="BD4" s="22"/>
      <c r="BE4" s="22"/>
    </row>
    <row r="5" ht="21.0" customHeight="1">
      <c r="A5" s="10">
        <f t="shared" si="1"/>
        <v>4</v>
      </c>
      <c r="B5" s="11" t="s">
        <v>63</v>
      </c>
      <c r="C5" s="11" t="str">
        <f t="shared" si="2"/>
        <v>4_reactor_maintenance</v>
      </c>
      <c r="D5" s="12" t="s">
        <v>64</v>
      </c>
      <c r="E5" s="11" t="s">
        <v>65</v>
      </c>
      <c r="F5" s="13" t="s">
        <v>66</v>
      </c>
      <c r="G5" s="13" t="s">
        <v>67</v>
      </c>
      <c r="H5" s="14" t="s">
        <v>68</v>
      </c>
      <c r="I5" s="15" t="s">
        <v>29</v>
      </c>
      <c r="J5" s="16" t="s">
        <v>30</v>
      </c>
      <c r="K5" s="17" t="b">
        <v>1</v>
      </c>
      <c r="L5" s="18">
        <v>12.0</v>
      </c>
      <c r="M5" s="18">
        <v>5.0</v>
      </c>
      <c r="O5" s="10">
        <f t="shared" si="3"/>
        <v>4</v>
      </c>
      <c r="P5" s="11" t="s">
        <v>63</v>
      </c>
      <c r="Q5" s="11" t="str">
        <f t="shared" si="4"/>
        <v>4_reactor_maintenance</v>
      </c>
      <c r="R5" s="11" t="s">
        <v>69</v>
      </c>
      <c r="S5" s="15">
        <v>0.0</v>
      </c>
      <c r="T5" s="16" t="s">
        <v>32</v>
      </c>
      <c r="U5" s="17" t="b">
        <v>1</v>
      </c>
      <c r="V5" s="18">
        <v>12.0</v>
      </c>
      <c r="W5" s="18">
        <v>5.0</v>
      </c>
      <c r="X5" s="18">
        <v>0.0</v>
      </c>
      <c r="Y5" s="11" t="s">
        <v>70</v>
      </c>
      <c r="Z5" s="11" t="s">
        <v>71</v>
      </c>
      <c r="AC5" s="10">
        <v>1.0</v>
      </c>
      <c r="AD5" s="11" t="s">
        <v>61</v>
      </c>
      <c r="AE5" s="11" t="s">
        <v>36</v>
      </c>
      <c r="AF5" s="11" t="s">
        <v>72</v>
      </c>
      <c r="AG5" s="11">
        <v>5.0</v>
      </c>
      <c r="AH5" s="11"/>
      <c r="AJ5" s="10">
        <f t="shared" si="5"/>
        <v>4</v>
      </c>
      <c r="AK5" s="11"/>
      <c r="AL5" s="11"/>
      <c r="AM5" s="11"/>
      <c r="AN5" s="11"/>
      <c r="AO5" s="11" t="s">
        <v>63</v>
      </c>
      <c r="AP5" s="11" t="s">
        <v>65</v>
      </c>
      <c r="AQ5" s="11" t="s">
        <v>68</v>
      </c>
      <c r="AR5" s="15" t="s">
        <v>29</v>
      </c>
      <c r="AS5" s="16" t="s">
        <v>30</v>
      </c>
      <c r="AT5" s="8"/>
      <c r="AU5" s="8"/>
      <c r="AZ5" s="8"/>
      <c r="BA5" s="9" t="s">
        <v>73</v>
      </c>
      <c r="BB5" s="9" t="s">
        <v>74</v>
      </c>
      <c r="BC5" s="21"/>
      <c r="BD5" s="22"/>
      <c r="BE5" s="22"/>
    </row>
    <row r="6" ht="31.5" customHeight="1">
      <c r="A6" s="24">
        <f t="shared" si="1"/>
        <v>5</v>
      </c>
      <c r="B6" s="25" t="s">
        <v>73</v>
      </c>
      <c r="C6" s="25" t="str">
        <f t="shared" si="2"/>
        <v>5_water_contamination</v>
      </c>
      <c r="D6" s="12" t="s">
        <v>74</v>
      </c>
      <c r="E6" s="25" t="s">
        <v>75</v>
      </c>
      <c r="F6" s="26" t="s">
        <v>76</v>
      </c>
      <c r="G6" s="26" t="s">
        <v>77</v>
      </c>
      <c r="H6" s="25" t="s">
        <v>78</v>
      </c>
      <c r="I6" s="15" t="s">
        <v>29</v>
      </c>
      <c r="J6" s="16" t="s">
        <v>30</v>
      </c>
      <c r="K6" s="17" t="b">
        <v>1</v>
      </c>
      <c r="L6" s="18">
        <v>12.0</v>
      </c>
      <c r="M6" s="18">
        <v>5.0</v>
      </c>
      <c r="O6" s="10">
        <f t="shared" si="3"/>
        <v>5</v>
      </c>
      <c r="P6" s="11" t="s">
        <v>73</v>
      </c>
      <c r="Q6" s="11" t="str">
        <f t="shared" si="4"/>
        <v>5_water_contamination</v>
      </c>
      <c r="R6" s="11" t="s">
        <v>79</v>
      </c>
      <c r="S6" s="15">
        <v>0.0</v>
      </c>
      <c r="T6" s="16" t="s">
        <v>32</v>
      </c>
      <c r="U6" s="17" t="b">
        <v>1</v>
      </c>
      <c r="V6" s="18">
        <v>12.0</v>
      </c>
      <c r="W6" s="18">
        <v>5.0</v>
      </c>
      <c r="X6" s="18">
        <v>0.0</v>
      </c>
      <c r="Y6" s="11" t="s">
        <v>80</v>
      </c>
      <c r="Z6" s="11" t="s">
        <v>81</v>
      </c>
      <c r="AC6" s="10">
        <v>2.0</v>
      </c>
      <c r="AD6" s="11" t="s">
        <v>35</v>
      </c>
      <c r="AE6" s="11" t="s">
        <v>36</v>
      </c>
      <c r="AF6" s="11" t="s">
        <v>37</v>
      </c>
      <c r="AG6" s="11">
        <v>-10.0</v>
      </c>
      <c r="AH6" s="11"/>
      <c r="AJ6" s="10">
        <f t="shared" si="5"/>
        <v>5</v>
      </c>
      <c r="AK6" s="11"/>
      <c r="AL6" s="11"/>
      <c r="AM6" s="11"/>
      <c r="AN6" s="11"/>
      <c r="AO6" s="11" t="s">
        <v>73</v>
      </c>
      <c r="AP6" s="11" t="s">
        <v>75</v>
      </c>
      <c r="AQ6" s="11" t="s">
        <v>78</v>
      </c>
      <c r="AR6" s="15" t="s">
        <v>29</v>
      </c>
      <c r="AS6" s="16" t="s">
        <v>30</v>
      </c>
      <c r="AT6" s="8"/>
      <c r="AU6" s="27" t="s">
        <v>82</v>
      </c>
      <c r="AV6" s="28">
        <v>0.6</v>
      </c>
      <c r="AW6" s="28">
        <v>0.25</v>
      </c>
      <c r="AX6" s="28">
        <v>0.1</v>
      </c>
      <c r="AY6" s="28">
        <v>0.05</v>
      </c>
      <c r="AZ6" s="8"/>
      <c r="BA6" s="9" t="s">
        <v>83</v>
      </c>
      <c r="BB6" s="9" t="s">
        <v>84</v>
      </c>
      <c r="BC6" s="29"/>
      <c r="BD6" s="8"/>
      <c r="BE6" s="8"/>
    </row>
    <row r="7" ht="31.5" customHeight="1">
      <c r="A7" s="10">
        <f t="shared" si="1"/>
        <v>6</v>
      </c>
      <c r="B7" s="11" t="s">
        <v>83</v>
      </c>
      <c r="C7" s="11" t="str">
        <f t="shared" si="2"/>
        <v>6_water_recycling_issue</v>
      </c>
      <c r="D7" s="12" t="s">
        <v>84</v>
      </c>
      <c r="E7" s="11" t="s">
        <v>85</v>
      </c>
      <c r="F7" s="13" t="s">
        <v>86</v>
      </c>
      <c r="G7" s="13" t="s">
        <v>87</v>
      </c>
      <c r="H7" s="14" t="s">
        <v>88</v>
      </c>
      <c r="I7" s="30" t="s">
        <v>89</v>
      </c>
      <c r="J7" s="16" t="s">
        <v>30</v>
      </c>
      <c r="K7" s="17" t="b">
        <v>1</v>
      </c>
      <c r="L7" s="18">
        <v>12.0</v>
      </c>
      <c r="M7" s="18">
        <v>5.0</v>
      </c>
      <c r="O7" s="10">
        <f t="shared" si="3"/>
        <v>6</v>
      </c>
      <c r="P7" s="11" t="s">
        <v>83</v>
      </c>
      <c r="Q7" s="11" t="str">
        <f t="shared" si="4"/>
        <v>6_water_recycling_issue</v>
      </c>
      <c r="R7" s="11" t="s">
        <v>90</v>
      </c>
      <c r="S7" s="30">
        <v>1.0</v>
      </c>
      <c r="T7" s="16" t="s">
        <v>32</v>
      </c>
      <c r="U7" s="17" t="b">
        <v>1</v>
      </c>
      <c r="V7" s="18">
        <v>12.0</v>
      </c>
      <c r="W7" s="18">
        <v>5.0</v>
      </c>
      <c r="X7" s="18">
        <v>0.0</v>
      </c>
      <c r="Y7" s="11" t="s">
        <v>91</v>
      </c>
      <c r="Z7" s="11" t="s">
        <v>92</v>
      </c>
      <c r="AC7" s="10">
        <v>2.0</v>
      </c>
      <c r="AD7" s="11" t="s">
        <v>35</v>
      </c>
      <c r="AE7" s="11" t="s">
        <v>36</v>
      </c>
      <c r="AF7" s="11" t="s">
        <v>50</v>
      </c>
      <c r="AG7" s="11">
        <v>5.0</v>
      </c>
      <c r="AH7" s="11"/>
      <c r="AJ7" s="10">
        <f t="shared" si="5"/>
        <v>6</v>
      </c>
      <c r="AK7" s="11"/>
      <c r="AL7" s="11"/>
      <c r="AM7" s="11"/>
      <c r="AN7" s="11"/>
      <c r="AO7" s="11" t="s">
        <v>83</v>
      </c>
      <c r="AP7" s="11" t="s">
        <v>85</v>
      </c>
      <c r="AQ7" s="11" t="s">
        <v>88</v>
      </c>
      <c r="AR7" s="30" t="s">
        <v>89</v>
      </c>
      <c r="AS7" s="16" t="s">
        <v>30</v>
      </c>
      <c r="AT7" s="8"/>
      <c r="AU7" s="31"/>
      <c r="AV7" s="32"/>
      <c r="AW7" s="28"/>
      <c r="AX7" s="8"/>
      <c r="AY7" s="8"/>
      <c r="AZ7" s="8"/>
      <c r="BA7" s="9" t="s">
        <v>93</v>
      </c>
      <c r="BB7" s="9" t="s">
        <v>94</v>
      </c>
      <c r="BC7" s="29"/>
      <c r="BD7" s="8"/>
      <c r="BE7" s="8"/>
    </row>
    <row r="8" ht="30.75" customHeight="1">
      <c r="A8" s="10">
        <f t="shared" si="1"/>
        <v>7</v>
      </c>
      <c r="B8" s="11" t="s">
        <v>93</v>
      </c>
      <c r="C8" s="11" t="str">
        <f t="shared" si="2"/>
        <v>7_structural_damage</v>
      </c>
      <c r="D8" s="12" t="s">
        <v>94</v>
      </c>
      <c r="E8" s="11" t="s">
        <v>95</v>
      </c>
      <c r="F8" s="13" t="s">
        <v>96</v>
      </c>
      <c r="G8" s="13" t="s">
        <v>97</v>
      </c>
      <c r="H8" s="14" t="s">
        <v>98</v>
      </c>
      <c r="I8" s="30" t="s">
        <v>89</v>
      </c>
      <c r="J8" s="16" t="s">
        <v>30</v>
      </c>
      <c r="K8" s="17" t="b">
        <v>1</v>
      </c>
      <c r="L8" s="18">
        <v>12.0</v>
      </c>
      <c r="M8" s="18">
        <v>5.0</v>
      </c>
      <c r="O8" s="10">
        <f t="shared" si="3"/>
        <v>7</v>
      </c>
      <c r="P8" s="11" t="s">
        <v>93</v>
      </c>
      <c r="Q8" s="11" t="str">
        <f t="shared" si="4"/>
        <v>7_structural_damage</v>
      </c>
      <c r="R8" s="11" t="s">
        <v>99</v>
      </c>
      <c r="S8" s="30">
        <v>1.0</v>
      </c>
      <c r="T8" s="16" t="s">
        <v>32</v>
      </c>
      <c r="U8" s="17" t="b">
        <v>1</v>
      </c>
      <c r="V8" s="18">
        <v>12.0</v>
      </c>
      <c r="W8" s="18">
        <v>5.0</v>
      </c>
      <c r="X8" s="18">
        <v>0.0</v>
      </c>
      <c r="Y8" s="11" t="s">
        <v>100</v>
      </c>
      <c r="Z8" s="11" t="s">
        <v>101</v>
      </c>
      <c r="AC8" s="10">
        <v>2.0</v>
      </c>
      <c r="AD8" s="11" t="s">
        <v>61</v>
      </c>
      <c r="AE8" s="11" t="s">
        <v>36</v>
      </c>
      <c r="AF8" s="11" t="s">
        <v>37</v>
      </c>
      <c r="AG8" s="11">
        <v>15.0</v>
      </c>
      <c r="AH8" s="11"/>
      <c r="AJ8" s="10">
        <f t="shared" si="5"/>
        <v>7</v>
      </c>
      <c r="AK8" s="11"/>
      <c r="AL8" s="11"/>
      <c r="AM8" s="11"/>
      <c r="AN8" s="11"/>
      <c r="AO8" s="11" t="s">
        <v>93</v>
      </c>
      <c r="AP8" s="11" t="s">
        <v>95</v>
      </c>
      <c r="AQ8" s="11" t="s">
        <v>98</v>
      </c>
      <c r="AR8" s="30" t="s">
        <v>89</v>
      </c>
      <c r="AS8" s="16" t="s">
        <v>30</v>
      </c>
      <c r="AT8" s="8"/>
      <c r="AU8" s="31"/>
      <c r="AV8" s="33"/>
      <c r="AW8" s="28"/>
      <c r="AX8" s="8"/>
      <c r="AY8" s="8"/>
      <c r="AZ8" s="8"/>
      <c r="BA8" s="9" t="s">
        <v>102</v>
      </c>
      <c r="BB8" s="9" t="s">
        <v>103</v>
      </c>
      <c r="BC8" s="29"/>
      <c r="BD8" s="8"/>
      <c r="BE8" s="8"/>
    </row>
    <row r="9" ht="29.25" customHeight="1">
      <c r="A9" s="10">
        <f t="shared" si="1"/>
        <v>8</v>
      </c>
      <c r="B9" s="11" t="s">
        <v>102</v>
      </c>
      <c r="C9" s="11" t="str">
        <f t="shared" si="2"/>
        <v>8_power_grid_overload</v>
      </c>
      <c r="D9" s="12" t="s">
        <v>103</v>
      </c>
      <c r="E9" s="11" t="s">
        <v>104</v>
      </c>
      <c r="F9" s="13" t="s">
        <v>105</v>
      </c>
      <c r="G9" s="13" t="s">
        <v>106</v>
      </c>
      <c r="H9" s="14" t="s">
        <v>107</v>
      </c>
      <c r="I9" s="15" t="s">
        <v>29</v>
      </c>
      <c r="J9" s="16" t="s">
        <v>30</v>
      </c>
      <c r="K9" s="17" t="b">
        <v>1</v>
      </c>
      <c r="L9" s="18">
        <v>12.0</v>
      </c>
      <c r="M9" s="18">
        <v>5.0</v>
      </c>
      <c r="O9" s="10">
        <f t="shared" si="3"/>
        <v>8</v>
      </c>
      <c r="P9" s="11" t="s">
        <v>102</v>
      </c>
      <c r="Q9" s="11" t="str">
        <f t="shared" si="4"/>
        <v>8_power_grid_overload</v>
      </c>
      <c r="R9" s="11" t="s">
        <v>108</v>
      </c>
      <c r="S9" s="15">
        <v>0.0</v>
      </c>
      <c r="T9" s="16" t="s">
        <v>32</v>
      </c>
      <c r="U9" s="17" t="b">
        <v>1</v>
      </c>
      <c r="V9" s="18">
        <v>12.0</v>
      </c>
      <c r="W9" s="18">
        <v>5.0</v>
      </c>
      <c r="X9" s="18">
        <v>0.0</v>
      </c>
      <c r="Y9" s="11" t="s">
        <v>109</v>
      </c>
      <c r="Z9" s="11" t="s">
        <v>110</v>
      </c>
      <c r="AC9" s="10">
        <v>2.0</v>
      </c>
      <c r="AD9" s="11" t="s">
        <v>61</v>
      </c>
      <c r="AE9" s="11" t="s">
        <v>36</v>
      </c>
      <c r="AF9" s="11" t="s">
        <v>50</v>
      </c>
      <c r="AG9" s="11">
        <v>-10.0</v>
      </c>
      <c r="AH9" s="11"/>
      <c r="AJ9" s="10">
        <f t="shared" si="5"/>
        <v>8</v>
      </c>
      <c r="AK9" s="11"/>
      <c r="AL9" s="11"/>
      <c r="AM9" s="11"/>
      <c r="AN9" s="11"/>
      <c r="AO9" s="11" t="s">
        <v>102</v>
      </c>
      <c r="AP9" s="11" t="s">
        <v>104</v>
      </c>
      <c r="AQ9" s="11" t="s">
        <v>107</v>
      </c>
      <c r="AR9" s="15" t="s">
        <v>29</v>
      </c>
      <c r="AS9" s="16" t="s">
        <v>30</v>
      </c>
      <c r="AT9" s="8"/>
      <c r="AU9" s="31"/>
      <c r="AV9" s="32"/>
      <c r="AW9" s="28"/>
      <c r="AX9" s="8"/>
      <c r="AY9" s="8"/>
      <c r="AZ9" s="8"/>
      <c r="BA9" s="9" t="s">
        <v>111</v>
      </c>
      <c r="BB9" s="9" t="s">
        <v>112</v>
      </c>
      <c r="BC9" s="29"/>
      <c r="BD9" s="8"/>
      <c r="BE9" s="8"/>
    </row>
    <row r="10" ht="34.5" customHeight="1">
      <c r="A10" s="10">
        <f t="shared" si="1"/>
        <v>9</v>
      </c>
      <c r="B10" s="11" t="s">
        <v>111</v>
      </c>
      <c r="C10" s="11" t="str">
        <f t="shared" si="2"/>
        <v>9_equipment_malfunction</v>
      </c>
      <c r="D10" s="12" t="s">
        <v>112</v>
      </c>
      <c r="E10" s="11" t="s">
        <v>113</v>
      </c>
      <c r="F10" s="13" t="s">
        <v>114</v>
      </c>
      <c r="G10" s="13" t="s">
        <v>115</v>
      </c>
      <c r="H10" s="14" t="s">
        <v>116</v>
      </c>
      <c r="I10" s="15" t="s">
        <v>29</v>
      </c>
      <c r="J10" s="16" t="s">
        <v>30</v>
      </c>
      <c r="K10" s="17" t="b">
        <v>1</v>
      </c>
      <c r="L10" s="18">
        <v>12.0</v>
      </c>
      <c r="M10" s="18">
        <v>5.0</v>
      </c>
      <c r="O10" s="10">
        <f t="shared" si="3"/>
        <v>9</v>
      </c>
      <c r="P10" s="11" t="s">
        <v>111</v>
      </c>
      <c r="Q10" s="11" t="str">
        <f t="shared" si="4"/>
        <v>9_equipment_malfunction</v>
      </c>
      <c r="R10" s="11" t="s">
        <v>117</v>
      </c>
      <c r="S10" s="15">
        <v>0.0</v>
      </c>
      <c r="T10" s="16" t="s">
        <v>32</v>
      </c>
      <c r="U10" s="17" t="b">
        <v>1</v>
      </c>
      <c r="V10" s="18">
        <v>12.0</v>
      </c>
      <c r="W10" s="18">
        <v>5.0</v>
      </c>
      <c r="X10" s="18">
        <v>0.0</v>
      </c>
      <c r="Y10" s="11" t="s">
        <v>118</v>
      </c>
      <c r="Z10" s="11" t="s">
        <v>71</v>
      </c>
      <c r="AC10" s="10">
        <v>3.0</v>
      </c>
      <c r="AD10" s="11" t="s">
        <v>35</v>
      </c>
      <c r="AE10" s="11" t="s">
        <v>36</v>
      </c>
      <c r="AF10" s="11" t="s">
        <v>37</v>
      </c>
      <c r="AG10" s="11">
        <v>15.0</v>
      </c>
      <c r="AH10" s="11"/>
      <c r="AJ10" s="10">
        <f t="shared" si="5"/>
        <v>9</v>
      </c>
      <c r="AK10" s="11"/>
      <c r="AL10" s="11"/>
      <c r="AM10" s="11"/>
      <c r="AN10" s="11"/>
      <c r="AO10" s="11" t="s">
        <v>111</v>
      </c>
      <c r="AP10" s="11" t="s">
        <v>113</v>
      </c>
      <c r="AQ10" s="11" t="s">
        <v>116</v>
      </c>
      <c r="AR10" s="15" t="s">
        <v>29</v>
      </c>
      <c r="AS10" s="16" t="s">
        <v>30</v>
      </c>
      <c r="AT10" s="8"/>
      <c r="AU10" s="8"/>
      <c r="AV10" s="34"/>
      <c r="AW10" s="8"/>
      <c r="AX10" s="8"/>
      <c r="AY10" s="8"/>
      <c r="AZ10" s="8"/>
      <c r="BA10" s="9" t="s">
        <v>119</v>
      </c>
      <c r="BB10" s="9" t="s">
        <v>120</v>
      </c>
      <c r="BC10" s="29"/>
      <c r="BD10" s="8"/>
      <c r="BE10" s="8"/>
    </row>
    <row r="11" ht="30.75" customHeight="1">
      <c r="A11" s="10">
        <f t="shared" si="1"/>
        <v>10</v>
      </c>
      <c r="B11" s="11" t="s">
        <v>119</v>
      </c>
      <c r="C11" s="11" t="str">
        <f t="shared" si="2"/>
        <v>10_mining_accident</v>
      </c>
      <c r="D11" s="12" t="s">
        <v>120</v>
      </c>
      <c r="E11" s="11" t="s">
        <v>121</v>
      </c>
      <c r="F11" s="26" t="s">
        <v>122</v>
      </c>
      <c r="G11" s="26" t="s">
        <v>123</v>
      </c>
      <c r="H11" s="14" t="s">
        <v>124</v>
      </c>
      <c r="I11" s="15" t="s">
        <v>29</v>
      </c>
      <c r="J11" s="16" t="s">
        <v>30</v>
      </c>
      <c r="K11" s="17" t="b">
        <v>1</v>
      </c>
      <c r="L11" s="18">
        <v>12.0</v>
      </c>
      <c r="M11" s="18">
        <v>5.0</v>
      </c>
      <c r="O11" s="10">
        <f t="shared" si="3"/>
        <v>10</v>
      </c>
      <c r="P11" s="11" t="s">
        <v>119</v>
      </c>
      <c r="Q11" s="11" t="str">
        <f t="shared" si="4"/>
        <v>10_mining_accident</v>
      </c>
      <c r="R11" s="11" t="s">
        <v>125</v>
      </c>
      <c r="S11" s="15">
        <v>0.0</v>
      </c>
      <c r="T11" s="16" t="s">
        <v>32</v>
      </c>
      <c r="U11" s="17" t="b">
        <v>1</v>
      </c>
      <c r="V11" s="18">
        <v>12.0</v>
      </c>
      <c r="W11" s="18">
        <v>5.0</v>
      </c>
      <c r="X11" s="18">
        <v>0.0</v>
      </c>
      <c r="Y11" s="11" t="s">
        <v>126</v>
      </c>
      <c r="Z11" s="11" t="s">
        <v>127</v>
      </c>
      <c r="AC11" s="10">
        <v>3.0</v>
      </c>
      <c r="AD11" s="11" t="s">
        <v>35</v>
      </c>
      <c r="AE11" s="11" t="s">
        <v>36</v>
      </c>
      <c r="AF11" s="11" t="s">
        <v>50</v>
      </c>
      <c r="AG11" s="11">
        <v>-5.0</v>
      </c>
      <c r="AH11" s="11"/>
      <c r="AJ11" s="10">
        <f t="shared" si="5"/>
        <v>10</v>
      </c>
      <c r="AK11" s="11"/>
      <c r="AL11" s="11"/>
      <c r="AM11" s="11"/>
      <c r="AN11" s="11"/>
      <c r="AO11" s="11" t="s">
        <v>119</v>
      </c>
      <c r="AP11" s="11" t="s">
        <v>121</v>
      </c>
      <c r="AQ11" s="11" t="s">
        <v>124</v>
      </c>
      <c r="AR11" s="15" t="s">
        <v>29</v>
      </c>
      <c r="AS11" s="16" t="s">
        <v>30</v>
      </c>
      <c r="AT11" s="8"/>
      <c r="AU11" s="8"/>
      <c r="AV11" s="8"/>
      <c r="AW11" s="8"/>
      <c r="AX11" s="8"/>
      <c r="AY11" s="8"/>
      <c r="AZ11" s="8"/>
      <c r="BA11" s="9" t="s">
        <v>128</v>
      </c>
      <c r="BB11" s="9" t="s">
        <v>129</v>
      </c>
      <c r="BC11" s="29"/>
      <c r="BD11" s="8"/>
      <c r="BE11" s="8"/>
    </row>
    <row r="12" ht="30.0" customHeight="1">
      <c r="A12" s="10">
        <f t="shared" si="1"/>
        <v>11</v>
      </c>
      <c r="B12" s="11" t="s">
        <v>128</v>
      </c>
      <c r="C12" s="11" t="str">
        <f t="shared" si="2"/>
        <v>11_communication_delay</v>
      </c>
      <c r="D12" s="12" t="s">
        <v>129</v>
      </c>
      <c r="E12" s="11" t="s">
        <v>130</v>
      </c>
      <c r="F12" s="13" t="s">
        <v>131</v>
      </c>
      <c r="G12" s="13" t="s">
        <v>132</v>
      </c>
      <c r="H12" s="14" t="s">
        <v>133</v>
      </c>
      <c r="I12" s="15" t="s">
        <v>29</v>
      </c>
      <c r="J12" s="16" t="s">
        <v>30</v>
      </c>
      <c r="K12" s="17" t="b">
        <v>1</v>
      </c>
      <c r="L12" s="18">
        <v>12.0</v>
      </c>
      <c r="M12" s="18">
        <v>5.0</v>
      </c>
      <c r="O12" s="10">
        <f t="shared" si="3"/>
        <v>11</v>
      </c>
      <c r="P12" s="11" t="s">
        <v>128</v>
      </c>
      <c r="Q12" s="11" t="str">
        <f t="shared" si="4"/>
        <v>11_communication_delay</v>
      </c>
      <c r="R12" s="11" t="s">
        <v>134</v>
      </c>
      <c r="S12" s="15">
        <v>0.0</v>
      </c>
      <c r="T12" s="16" t="s">
        <v>32</v>
      </c>
      <c r="U12" s="17" t="b">
        <v>1</v>
      </c>
      <c r="V12" s="18">
        <v>12.0</v>
      </c>
      <c r="W12" s="18">
        <v>5.0</v>
      </c>
      <c r="X12" s="18">
        <v>0.0</v>
      </c>
      <c r="Y12" s="11" t="s">
        <v>135</v>
      </c>
      <c r="Z12" s="11" t="s">
        <v>81</v>
      </c>
      <c r="AC12" s="10">
        <v>3.0</v>
      </c>
      <c r="AD12" s="11" t="s">
        <v>61</v>
      </c>
      <c r="AE12" s="11" t="s">
        <v>36</v>
      </c>
      <c r="AF12" s="11" t="s">
        <v>72</v>
      </c>
      <c r="AG12" s="11">
        <v>5.0</v>
      </c>
      <c r="AH12" s="11"/>
      <c r="AJ12" s="10">
        <f t="shared" si="5"/>
        <v>11</v>
      </c>
      <c r="AK12" s="11"/>
      <c r="AL12" s="11"/>
      <c r="AM12" s="11"/>
      <c r="AN12" s="11"/>
      <c r="AO12" s="11" t="s">
        <v>128</v>
      </c>
      <c r="AP12" s="11" t="s">
        <v>130</v>
      </c>
      <c r="AQ12" s="11" t="s">
        <v>133</v>
      </c>
      <c r="AR12" s="15" t="s">
        <v>29</v>
      </c>
      <c r="AS12" s="16" t="s">
        <v>30</v>
      </c>
      <c r="AT12" s="8"/>
      <c r="AU12" s="8"/>
      <c r="AV12" s="35" t="s">
        <v>136</v>
      </c>
      <c r="AW12" s="8" t="s">
        <v>137</v>
      </c>
      <c r="AX12" s="8" t="s">
        <v>138</v>
      </c>
      <c r="AY12" s="8" t="s">
        <v>139</v>
      </c>
      <c r="AZ12" s="8"/>
      <c r="BA12" s="9" t="s">
        <v>140</v>
      </c>
      <c r="BB12" s="9" t="s">
        <v>141</v>
      </c>
      <c r="BC12" s="29"/>
      <c r="BD12" s="8"/>
      <c r="BE12" s="8"/>
    </row>
    <row r="13" ht="37.5" customHeight="1">
      <c r="A13" s="10">
        <f t="shared" si="1"/>
        <v>12</v>
      </c>
      <c r="B13" s="11" t="s">
        <v>140</v>
      </c>
      <c r="C13" s="11" t="str">
        <f t="shared" si="2"/>
        <v>12_atmospheric_leak</v>
      </c>
      <c r="D13" s="12" t="s">
        <v>141</v>
      </c>
      <c r="E13" s="11" t="s">
        <v>142</v>
      </c>
      <c r="F13" s="13" t="s">
        <v>143</v>
      </c>
      <c r="G13" s="13" t="s">
        <v>144</v>
      </c>
      <c r="H13" s="14" t="s">
        <v>145</v>
      </c>
      <c r="I13" s="15" t="s">
        <v>29</v>
      </c>
      <c r="J13" s="16" t="s">
        <v>30</v>
      </c>
      <c r="K13" s="17" t="b">
        <v>1</v>
      </c>
      <c r="L13" s="18">
        <v>12.0</v>
      </c>
      <c r="M13" s="18">
        <v>5.0</v>
      </c>
      <c r="O13" s="10">
        <f t="shared" si="3"/>
        <v>12</v>
      </c>
      <c r="P13" s="11" t="s">
        <v>140</v>
      </c>
      <c r="Q13" s="11" t="str">
        <f t="shared" si="4"/>
        <v>12_atmospheric_leak</v>
      </c>
      <c r="R13" s="11" t="s">
        <v>146</v>
      </c>
      <c r="S13" s="15">
        <v>0.0</v>
      </c>
      <c r="T13" s="16" t="s">
        <v>32</v>
      </c>
      <c r="U13" s="17" t="b">
        <v>1</v>
      </c>
      <c r="V13" s="18">
        <v>12.0</v>
      </c>
      <c r="W13" s="18">
        <v>5.0</v>
      </c>
      <c r="X13" s="18">
        <v>0.0</v>
      </c>
      <c r="Y13" s="11" t="s">
        <v>147</v>
      </c>
      <c r="Z13" s="11" t="s">
        <v>148</v>
      </c>
      <c r="AC13" s="10">
        <v>3.0</v>
      </c>
      <c r="AD13" s="11" t="s">
        <v>61</v>
      </c>
      <c r="AE13" s="11" t="s">
        <v>36</v>
      </c>
      <c r="AF13" s="11" t="s">
        <v>37</v>
      </c>
      <c r="AG13" s="11">
        <v>-7.0</v>
      </c>
      <c r="AH13" s="11"/>
      <c r="AJ13" s="10">
        <f t="shared" si="5"/>
        <v>12</v>
      </c>
      <c r="AK13" s="11"/>
      <c r="AL13" s="11"/>
      <c r="AM13" s="11"/>
      <c r="AN13" s="11"/>
      <c r="AO13" s="11" t="s">
        <v>140</v>
      </c>
      <c r="AP13" s="11" t="s">
        <v>142</v>
      </c>
      <c r="AQ13" s="11" t="s">
        <v>145</v>
      </c>
      <c r="AR13" s="15" t="s">
        <v>29</v>
      </c>
      <c r="AS13" s="16" t="s">
        <v>30</v>
      </c>
      <c r="AT13" s="8"/>
      <c r="AU13" s="8"/>
      <c r="AV13" s="36" t="s">
        <v>149</v>
      </c>
      <c r="AW13" s="36" t="s">
        <v>150</v>
      </c>
      <c r="AX13" s="36" t="s">
        <v>151</v>
      </c>
      <c r="AY13" s="36" t="s">
        <v>152</v>
      </c>
      <c r="AZ13" s="8"/>
      <c r="BA13" s="9" t="s">
        <v>153</v>
      </c>
      <c r="BB13" s="9" t="s">
        <v>154</v>
      </c>
      <c r="BC13" s="29"/>
      <c r="BD13" s="8"/>
      <c r="BE13" s="8"/>
    </row>
    <row r="14" ht="24.75" customHeight="1">
      <c r="A14" s="10">
        <f t="shared" si="1"/>
        <v>13</v>
      </c>
      <c r="B14" s="11" t="s">
        <v>153</v>
      </c>
      <c r="C14" s="11" t="str">
        <f t="shared" si="2"/>
        <v>13_terraforming_test</v>
      </c>
      <c r="D14" s="12" t="s">
        <v>154</v>
      </c>
      <c r="E14" s="11" t="s">
        <v>155</v>
      </c>
      <c r="F14" s="13" t="s">
        <v>156</v>
      </c>
      <c r="G14" s="13" t="s">
        <v>157</v>
      </c>
      <c r="H14" s="14" t="s">
        <v>158</v>
      </c>
      <c r="I14" s="30" t="s">
        <v>89</v>
      </c>
      <c r="J14" s="16" t="s">
        <v>30</v>
      </c>
      <c r="K14" s="17" t="b">
        <v>1</v>
      </c>
      <c r="L14" s="18">
        <v>12.0</v>
      </c>
      <c r="M14" s="18">
        <v>5.0</v>
      </c>
      <c r="O14" s="10">
        <f t="shared" si="3"/>
        <v>13</v>
      </c>
      <c r="P14" s="11" t="s">
        <v>153</v>
      </c>
      <c r="Q14" s="11" t="str">
        <f t="shared" si="4"/>
        <v>13_terraforming_test</v>
      </c>
      <c r="R14" s="11" t="s">
        <v>159</v>
      </c>
      <c r="S14" s="30">
        <v>1.0</v>
      </c>
      <c r="T14" s="16" t="s">
        <v>32</v>
      </c>
      <c r="U14" s="17" t="b">
        <v>1</v>
      </c>
      <c r="V14" s="18">
        <v>12.0</v>
      </c>
      <c r="W14" s="18">
        <v>5.0</v>
      </c>
      <c r="X14" s="18">
        <v>0.0</v>
      </c>
      <c r="Y14" s="11" t="s">
        <v>160</v>
      </c>
      <c r="Z14" s="11" t="s">
        <v>161</v>
      </c>
      <c r="AC14" s="10">
        <v>4.0</v>
      </c>
      <c r="AD14" s="11" t="s">
        <v>35</v>
      </c>
      <c r="AE14" s="11" t="s">
        <v>36</v>
      </c>
      <c r="AF14" s="11" t="s">
        <v>162</v>
      </c>
      <c r="AG14" s="11">
        <v>5.0</v>
      </c>
      <c r="AH14" s="11"/>
      <c r="AJ14" s="10">
        <f t="shared" si="5"/>
        <v>13</v>
      </c>
      <c r="AK14" s="11"/>
      <c r="AL14" s="11"/>
      <c r="AM14" s="11"/>
      <c r="AN14" s="11"/>
      <c r="AO14" s="11" t="s">
        <v>153</v>
      </c>
      <c r="AP14" s="11" t="s">
        <v>155</v>
      </c>
      <c r="AQ14" s="11" t="s">
        <v>158</v>
      </c>
      <c r="AR14" s="30" t="s">
        <v>89</v>
      </c>
      <c r="AS14" s="16" t="s">
        <v>30</v>
      </c>
      <c r="AT14" s="8"/>
      <c r="AU14" s="8"/>
      <c r="AV14" s="36" t="s">
        <v>163</v>
      </c>
      <c r="AW14" s="36" t="s">
        <v>164</v>
      </c>
      <c r="AX14" s="36" t="s">
        <v>165</v>
      </c>
      <c r="AY14" s="36" t="s">
        <v>166</v>
      </c>
      <c r="AZ14" s="8"/>
      <c r="BA14" s="9" t="s">
        <v>167</v>
      </c>
      <c r="BB14" s="9" t="s">
        <v>168</v>
      </c>
      <c r="BC14" s="29"/>
      <c r="BD14" s="8"/>
      <c r="BE14" s="8"/>
    </row>
    <row r="15">
      <c r="A15" s="10">
        <f t="shared" si="1"/>
        <v>14</v>
      </c>
      <c r="B15" s="11" t="s">
        <v>167</v>
      </c>
      <c r="C15" s="11" t="str">
        <f t="shared" si="2"/>
        <v>14_underground_caverns</v>
      </c>
      <c r="D15" s="12" t="s">
        <v>168</v>
      </c>
      <c r="E15" s="11" t="s">
        <v>169</v>
      </c>
      <c r="F15" s="13" t="s">
        <v>170</v>
      </c>
      <c r="G15" s="13" t="s">
        <v>171</v>
      </c>
      <c r="H15" s="14" t="s">
        <v>172</v>
      </c>
      <c r="I15" s="30" t="s">
        <v>89</v>
      </c>
      <c r="J15" s="16" t="s">
        <v>30</v>
      </c>
      <c r="K15" s="17" t="b">
        <v>1</v>
      </c>
      <c r="L15" s="18">
        <v>12.0</v>
      </c>
      <c r="M15" s="18">
        <v>5.0</v>
      </c>
      <c r="O15" s="10">
        <f t="shared" si="3"/>
        <v>14</v>
      </c>
      <c r="P15" s="11" t="s">
        <v>167</v>
      </c>
      <c r="Q15" s="11" t="str">
        <f t="shared" si="4"/>
        <v>14_underground_caverns</v>
      </c>
      <c r="R15" s="11" t="s">
        <v>173</v>
      </c>
      <c r="S15" s="30">
        <v>1.0</v>
      </c>
      <c r="T15" s="16" t="s">
        <v>32</v>
      </c>
      <c r="U15" s="17" t="b">
        <v>1</v>
      </c>
      <c r="V15" s="18">
        <v>12.0</v>
      </c>
      <c r="W15" s="18">
        <v>5.0</v>
      </c>
      <c r="X15" s="18">
        <v>0.0</v>
      </c>
      <c r="Y15" s="11" t="s">
        <v>174</v>
      </c>
      <c r="Z15" s="11" t="s">
        <v>175</v>
      </c>
      <c r="AC15" s="10">
        <v>4.0</v>
      </c>
      <c r="AD15" s="11" t="s">
        <v>35</v>
      </c>
      <c r="AE15" s="11" t="s">
        <v>36</v>
      </c>
      <c r="AF15" s="11" t="s">
        <v>37</v>
      </c>
      <c r="AG15" s="11">
        <v>-15.0</v>
      </c>
      <c r="AH15" s="11"/>
      <c r="AJ15" s="10">
        <f t="shared" si="5"/>
        <v>14</v>
      </c>
      <c r="AK15" s="11"/>
      <c r="AL15" s="11"/>
      <c r="AM15" s="11"/>
      <c r="AN15" s="11"/>
      <c r="AO15" s="11" t="s">
        <v>167</v>
      </c>
      <c r="AP15" s="11" t="s">
        <v>169</v>
      </c>
      <c r="AQ15" s="11" t="s">
        <v>172</v>
      </c>
      <c r="AR15" s="30" t="s">
        <v>89</v>
      </c>
      <c r="AS15" s="16" t="s">
        <v>30</v>
      </c>
      <c r="AT15" s="8"/>
      <c r="AU15" s="8"/>
      <c r="AV15" s="36" t="s">
        <v>176</v>
      </c>
      <c r="AW15" s="36" t="s">
        <v>177</v>
      </c>
      <c r="AX15" s="36" t="s">
        <v>178</v>
      </c>
      <c r="AY15" s="36" t="s">
        <v>179</v>
      </c>
      <c r="AZ15" s="8"/>
      <c r="BA15" s="9" t="s">
        <v>180</v>
      </c>
      <c r="BB15" s="9" t="s">
        <v>181</v>
      </c>
      <c r="BC15" s="29"/>
      <c r="BD15" s="8"/>
      <c r="BE15" s="8"/>
    </row>
    <row r="16">
      <c r="A16" s="10">
        <f t="shared" si="1"/>
        <v>15</v>
      </c>
      <c r="B16" s="11" t="s">
        <v>180</v>
      </c>
      <c r="C16" s="11" t="str">
        <f t="shared" si="2"/>
        <v>15_cargo_ship_arrival</v>
      </c>
      <c r="D16" s="12" t="s">
        <v>181</v>
      </c>
      <c r="E16" s="11" t="s">
        <v>182</v>
      </c>
      <c r="F16" s="26" t="s">
        <v>183</v>
      </c>
      <c r="G16" s="26" t="s">
        <v>171</v>
      </c>
      <c r="H16" s="14" t="s">
        <v>184</v>
      </c>
      <c r="I16" s="15" t="s">
        <v>29</v>
      </c>
      <c r="J16" s="16" t="s">
        <v>30</v>
      </c>
      <c r="K16" s="17" t="b">
        <v>1</v>
      </c>
      <c r="L16" s="18">
        <v>12.0</v>
      </c>
      <c r="M16" s="18">
        <v>5.0</v>
      </c>
      <c r="O16" s="10">
        <f t="shared" si="3"/>
        <v>15</v>
      </c>
      <c r="P16" s="11" t="s">
        <v>180</v>
      </c>
      <c r="Q16" s="11" t="str">
        <f t="shared" si="4"/>
        <v>15_cargo_ship_arrival</v>
      </c>
      <c r="R16" s="11" t="s">
        <v>185</v>
      </c>
      <c r="S16" s="15">
        <v>0.0</v>
      </c>
      <c r="T16" s="16" t="s">
        <v>32</v>
      </c>
      <c r="U16" s="17" t="b">
        <v>1</v>
      </c>
      <c r="V16" s="18">
        <v>12.0</v>
      </c>
      <c r="W16" s="18">
        <v>5.0</v>
      </c>
      <c r="X16" s="18">
        <v>0.0</v>
      </c>
      <c r="Y16" s="11" t="s">
        <v>186</v>
      </c>
      <c r="Z16" s="11" t="s">
        <v>187</v>
      </c>
      <c r="AC16" s="10">
        <v>4.0</v>
      </c>
      <c r="AD16" s="11" t="s">
        <v>61</v>
      </c>
      <c r="AE16" s="11" t="s">
        <v>36</v>
      </c>
      <c r="AF16" s="11" t="s">
        <v>37</v>
      </c>
      <c r="AG16" s="11">
        <f>10</f>
        <v>10</v>
      </c>
      <c r="AH16" s="11"/>
      <c r="AJ16" s="10">
        <f t="shared" si="5"/>
        <v>15</v>
      </c>
      <c r="AK16" s="11"/>
      <c r="AL16" s="11"/>
      <c r="AM16" s="11"/>
      <c r="AN16" s="11"/>
      <c r="AO16" s="11" t="s">
        <v>180</v>
      </c>
      <c r="AP16" s="11" t="s">
        <v>182</v>
      </c>
      <c r="AQ16" s="11" t="s">
        <v>184</v>
      </c>
      <c r="AR16" s="15" t="s">
        <v>29</v>
      </c>
      <c r="AS16" s="16" t="s">
        <v>30</v>
      </c>
      <c r="AT16" s="8"/>
      <c r="AU16" s="8"/>
      <c r="AV16" s="36" t="s">
        <v>188</v>
      </c>
      <c r="AW16" s="36" t="s">
        <v>189</v>
      </c>
      <c r="AX16" s="36" t="s">
        <v>190</v>
      </c>
      <c r="AY16" s="36" t="s">
        <v>191</v>
      </c>
      <c r="AZ16" s="8"/>
      <c r="BA16" s="9" t="s">
        <v>192</v>
      </c>
      <c r="BB16" s="9" t="s">
        <v>193</v>
      </c>
      <c r="BC16" s="29"/>
      <c r="BD16" s="8"/>
      <c r="BE16" s="8"/>
    </row>
    <row r="17">
      <c r="A17" s="10">
        <f t="shared" si="1"/>
        <v>16</v>
      </c>
      <c r="B17" s="11" t="s">
        <v>192</v>
      </c>
      <c r="C17" s="11" t="str">
        <f t="shared" si="2"/>
        <v>16_meteor_impact</v>
      </c>
      <c r="D17" s="12" t="s">
        <v>193</v>
      </c>
      <c r="E17" s="11" t="s">
        <v>194</v>
      </c>
      <c r="F17" s="13" t="s">
        <v>195</v>
      </c>
      <c r="G17" s="13" t="s">
        <v>196</v>
      </c>
      <c r="H17" s="14" t="s">
        <v>197</v>
      </c>
      <c r="I17" s="30" t="s">
        <v>89</v>
      </c>
      <c r="J17" s="16" t="s">
        <v>30</v>
      </c>
      <c r="K17" s="17" t="b">
        <v>1</v>
      </c>
      <c r="L17" s="18">
        <v>12.0</v>
      </c>
      <c r="M17" s="18">
        <v>5.0</v>
      </c>
      <c r="O17" s="10">
        <f t="shared" si="3"/>
        <v>16</v>
      </c>
      <c r="P17" s="11" t="s">
        <v>192</v>
      </c>
      <c r="Q17" s="11" t="str">
        <f t="shared" si="4"/>
        <v>16_meteor_impact</v>
      </c>
      <c r="R17" s="11" t="s">
        <v>198</v>
      </c>
      <c r="S17" s="30">
        <v>1.0</v>
      </c>
      <c r="T17" s="16" t="s">
        <v>32</v>
      </c>
      <c r="U17" s="17" t="b">
        <v>1</v>
      </c>
      <c r="V17" s="18">
        <v>12.0</v>
      </c>
      <c r="W17" s="18">
        <v>5.0</v>
      </c>
      <c r="X17" s="18">
        <v>0.0</v>
      </c>
      <c r="Y17" s="11" t="s">
        <v>199</v>
      </c>
      <c r="Z17" s="11" t="s">
        <v>200</v>
      </c>
      <c r="AC17" s="10">
        <v>4.0</v>
      </c>
      <c r="AD17" s="11" t="s">
        <v>61</v>
      </c>
      <c r="AE17" s="11" t="s">
        <v>36</v>
      </c>
      <c r="AF17" s="11" t="s">
        <v>72</v>
      </c>
      <c r="AG17" s="11">
        <v>-5.0</v>
      </c>
      <c r="AH17" s="11"/>
      <c r="AJ17" s="10">
        <f t="shared" si="5"/>
        <v>16</v>
      </c>
      <c r="AK17" s="11"/>
      <c r="AL17" s="11"/>
      <c r="AM17" s="11"/>
      <c r="AN17" s="11"/>
      <c r="AO17" s="11" t="s">
        <v>192</v>
      </c>
      <c r="AP17" s="11" t="s">
        <v>194</v>
      </c>
      <c r="AQ17" s="11" t="s">
        <v>197</v>
      </c>
      <c r="AR17" s="30" t="s">
        <v>89</v>
      </c>
      <c r="AS17" s="16" t="s">
        <v>30</v>
      </c>
      <c r="AT17" s="8"/>
      <c r="AU17" s="8"/>
      <c r="AV17" s="36" t="s">
        <v>201</v>
      </c>
      <c r="AW17" s="36" t="s">
        <v>202</v>
      </c>
      <c r="AX17" s="36"/>
      <c r="AY17" s="36"/>
      <c r="AZ17" s="8"/>
      <c r="BA17" s="9" t="s">
        <v>203</v>
      </c>
      <c r="BB17" s="9" t="s">
        <v>204</v>
      </c>
      <c r="BC17" s="29"/>
      <c r="BD17" s="8"/>
      <c r="BE17" s="8"/>
    </row>
    <row r="18">
      <c r="A18" s="10">
        <f t="shared" si="1"/>
        <v>17</v>
      </c>
      <c r="B18" s="11" t="s">
        <v>203</v>
      </c>
      <c r="C18" s="11" t="str">
        <f t="shared" si="2"/>
        <v>17_total_system_failure</v>
      </c>
      <c r="D18" s="12" t="s">
        <v>204</v>
      </c>
      <c r="E18" s="11" t="s">
        <v>205</v>
      </c>
      <c r="F18" s="13" t="s">
        <v>206</v>
      </c>
      <c r="G18" s="13" t="s">
        <v>207</v>
      </c>
      <c r="H18" s="14" t="s">
        <v>208</v>
      </c>
      <c r="I18" s="37" t="s">
        <v>209</v>
      </c>
      <c r="J18" s="16" t="s">
        <v>30</v>
      </c>
      <c r="K18" s="17" t="b">
        <v>1</v>
      </c>
      <c r="L18" s="18">
        <v>12.0</v>
      </c>
      <c r="M18" s="18">
        <v>5.0</v>
      </c>
      <c r="O18" s="10">
        <f t="shared" si="3"/>
        <v>17</v>
      </c>
      <c r="P18" s="11" t="s">
        <v>203</v>
      </c>
      <c r="Q18" s="11" t="str">
        <f t="shared" si="4"/>
        <v>17_total_system_failure</v>
      </c>
      <c r="R18" s="11" t="s">
        <v>210</v>
      </c>
      <c r="S18" s="37">
        <v>2.0</v>
      </c>
      <c r="T18" s="16" t="s">
        <v>32</v>
      </c>
      <c r="U18" s="17" t="b">
        <v>1</v>
      </c>
      <c r="V18" s="18">
        <v>12.0</v>
      </c>
      <c r="W18" s="18">
        <v>5.0</v>
      </c>
      <c r="X18" s="18">
        <v>0.0</v>
      </c>
      <c r="Y18" s="11" t="s">
        <v>211</v>
      </c>
      <c r="Z18" s="11" t="s">
        <v>212</v>
      </c>
      <c r="AC18" s="24">
        <v>5.0</v>
      </c>
      <c r="AD18" s="25" t="s">
        <v>35</v>
      </c>
      <c r="AE18" s="25" t="s">
        <v>36</v>
      </c>
      <c r="AF18" s="25" t="s">
        <v>37</v>
      </c>
      <c r="AG18" s="25">
        <v>-5.0</v>
      </c>
      <c r="AH18" s="25"/>
      <c r="AJ18" s="10">
        <f t="shared" si="5"/>
        <v>17</v>
      </c>
      <c r="AK18" s="11"/>
      <c r="AL18" s="11"/>
      <c r="AM18" s="11"/>
      <c r="AN18" s="11"/>
      <c r="AO18" s="11" t="s">
        <v>203</v>
      </c>
      <c r="AP18" s="11" t="s">
        <v>205</v>
      </c>
      <c r="AQ18" s="11" t="s">
        <v>208</v>
      </c>
      <c r="AR18" s="37" t="s">
        <v>209</v>
      </c>
      <c r="AS18" s="16" t="s">
        <v>30</v>
      </c>
      <c r="AT18" s="8"/>
      <c r="AU18" s="8"/>
      <c r="AV18" s="8"/>
      <c r="AW18" s="8"/>
      <c r="AX18" s="8"/>
      <c r="AY18" s="8"/>
      <c r="AZ18" s="8"/>
      <c r="BA18" s="9" t="s">
        <v>213</v>
      </c>
      <c r="BB18" s="9" t="s">
        <v>214</v>
      </c>
      <c r="BC18" s="29"/>
      <c r="BD18" s="8"/>
      <c r="BE18" s="8"/>
    </row>
    <row r="19">
      <c r="A19" s="10">
        <f t="shared" si="1"/>
        <v>18</v>
      </c>
      <c r="B19" s="11" t="s">
        <v>213</v>
      </c>
      <c r="C19" s="11" t="str">
        <f t="shared" si="2"/>
        <v>18_dyson_prototype</v>
      </c>
      <c r="D19" s="12" t="s">
        <v>214</v>
      </c>
      <c r="E19" s="11" t="s">
        <v>215</v>
      </c>
      <c r="F19" s="13" t="s">
        <v>216</v>
      </c>
      <c r="G19" s="13" t="s">
        <v>217</v>
      </c>
      <c r="H19" s="14" t="s">
        <v>218</v>
      </c>
      <c r="I19" s="37" t="s">
        <v>209</v>
      </c>
      <c r="J19" s="16" t="s">
        <v>30</v>
      </c>
      <c r="K19" s="17" t="b">
        <v>1</v>
      </c>
      <c r="L19" s="18">
        <v>12.0</v>
      </c>
      <c r="M19" s="18">
        <v>5.0</v>
      </c>
      <c r="O19" s="10">
        <f t="shared" si="3"/>
        <v>18</v>
      </c>
      <c r="P19" s="11" t="s">
        <v>213</v>
      </c>
      <c r="Q19" s="11" t="str">
        <f t="shared" si="4"/>
        <v>18_dyson_prototype</v>
      </c>
      <c r="R19" s="11" t="s">
        <v>219</v>
      </c>
      <c r="S19" s="37">
        <v>2.0</v>
      </c>
      <c r="T19" s="16" t="s">
        <v>32</v>
      </c>
      <c r="U19" s="17" t="b">
        <v>1</v>
      </c>
      <c r="V19" s="18">
        <v>12.0</v>
      </c>
      <c r="W19" s="18">
        <v>5.0</v>
      </c>
      <c r="X19" s="18">
        <v>0.0</v>
      </c>
      <c r="Y19" s="11" t="s">
        <v>220</v>
      </c>
      <c r="Z19" s="11" t="s">
        <v>221</v>
      </c>
      <c r="AC19" s="10">
        <v>5.0</v>
      </c>
      <c r="AD19" s="11" t="s">
        <v>35</v>
      </c>
      <c r="AE19" s="11" t="s">
        <v>36</v>
      </c>
      <c r="AF19" s="11" t="s">
        <v>50</v>
      </c>
      <c r="AG19" s="11">
        <v>5.0</v>
      </c>
      <c r="AH19" s="11"/>
      <c r="AJ19" s="10">
        <f t="shared" si="5"/>
        <v>18</v>
      </c>
      <c r="AK19" s="11"/>
      <c r="AL19" s="11"/>
      <c r="AM19" s="11"/>
      <c r="AN19" s="11"/>
      <c r="AO19" s="11" t="s">
        <v>213</v>
      </c>
      <c r="AP19" s="11" t="s">
        <v>215</v>
      </c>
      <c r="AQ19" s="11" t="s">
        <v>218</v>
      </c>
      <c r="AR19" s="37" t="s">
        <v>209</v>
      </c>
      <c r="AS19" s="16" t="s">
        <v>30</v>
      </c>
      <c r="AT19" s="8"/>
      <c r="AU19" s="8"/>
      <c r="AW19" s="8"/>
      <c r="AX19" s="8"/>
      <c r="AY19" s="8"/>
      <c r="AZ19" s="8"/>
      <c r="BA19" s="9" t="s">
        <v>222</v>
      </c>
      <c r="BB19" s="9" t="s">
        <v>223</v>
      </c>
      <c r="BC19" s="29"/>
      <c r="BD19" s="8"/>
      <c r="BE19" s="8"/>
    </row>
    <row r="20">
      <c r="A20" s="10">
        <f t="shared" si="1"/>
        <v>19</v>
      </c>
      <c r="B20" s="11" t="s">
        <v>222</v>
      </c>
      <c r="C20" s="11" t="str">
        <f t="shared" si="2"/>
        <v>19_terraforming_success</v>
      </c>
      <c r="D20" s="12" t="s">
        <v>223</v>
      </c>
      <c r="E20" s="11" t="s">
        <v>224</v>
      </c>
      <c r="F20" s="38" t="s">
        <v>225</v>
      </c>
      <c r="G20" s="13" t="s">
        <v>226</v>
      </c>
      <c r="H20" s="14" t="s">
        <v>227</v>
      </c>
      <c r="I20" s="39" t="s">
        <v>228</v>
      </c>
      <c r="J20" s="16" t="s">
        <v>30</v>
      </c>
      <c r="K20" s="17" t="b">
        <v>1</v>
      </c>
      <c r="L20" s="18">
        <v>12.0</v>
      </c>
      <c r="M20" s="18">
        <v>5.0</v>
      </c>
      <c r="O20" s="10">
        <f t="shared" si="3"/>
        <v>19</v>
      </c>
      <c r="P20" s="11" t="s">
        <v>222</v>
      </c>
      <c r="Q20" s="11" t="str">
        <f t="shared" si="4"/>
        <v>19_terraforming_success</v>
      </c>
      <c r="R20" s="11" t="s">
        <v>229</v>
      </c>
      <c r="S20" s="39">
        <v>3.0</v>
      </c>
      <c r="T20" s="16" t="s">
        <v>32</v>
      </c>
      <c r="U20" s="17" t="b">
        <v>1</v>
      </c>
      <c r="V20" s="18">
        <v>12.0</v>
      </c>
      <c r="W20" s="18">
        <v>5.0</v>
      </c>
      <c r="X20" s="18">
        <v>0.0</v>
      </c>
      <c r="Y20" s="11" t="s">
        <v>230</v>
      </c>
      <c r="Z20" s="11" t="s">
        <v>231</v>
      </c>
      <c r="AC20" s="10">
        <v>5.0</v>
      </c>
      <c r="AD20" s="11" t="s">
        <v>61</v>
      </c>
      <c r="AE20" s="11" t="s">
        <v>36</v>
      </c>
      <c r="AF20" s="11" t="s">
        <v>37</v>
      </c>
      <c r="AG20" s="11">
        <v>5.0</v>
      </c>
      <c r="AH20" s="11"/>
      <c r="AJ20" s="10">
        <f t="shared" si="5"/>
        <v>19</v>
      </c>
      <c r="AK20" s="11" t="s">
        <v>36</v>
      </c>
      <c r="AL20" s="11" t="s">
        <v>162</v>
      </c>
      <c r="AM20" s="11" t="s">
        <v>232</v>
      </c>
      <c r="AN20" s="11">
        <v>80.0</v>
      </c>
      <c r="AO20" s="11" t="s">
        <v>222</v>
      </c>
      <c r="AP20" s="11" t="s">
        <v>233</v>
      </c>
      <c r="AQ20" s="11" t="s">
        <v>227</v>
      </c>
      <c r="AR20" s="39" t="s">
        <v>228</v>
      </c>
      <c r="AS20" s="16" t="s">
        <v>30</v>
      </c>
      <c r="AT20" s="8"/>
      <c r="AU20" s="8"/>
      <c r="AW20" s="8"/>
      <c r="AX20" s="8"/>
      <c r="AY20" s="8"/>
      <c r="AZ20" s="8"/>
      <c r="BA20" s="9"/>
      <c r="BB20" s="40"/>
      <c r="BC20" s="29"/>
      <c r="BD20" s="8"/>
      <c r="BE20" s="8"/>
    </row>
    <row r="21">
      <c r="A21" s="10">
        <f t="shared" si="1"/>
        <v>20</v>
      </c>
      <c r="B21" s="11" t="s">
        <v>234</v>
      </c>
      <c r="C21" s="11" t="str">
        <f t="shared" si="2"/>
        <v>20_worker_strike</v>
      </c>
      <c r="D21" s="12" t="s">
        <v>235</v>
      </c>
      <c r="E21" s="11" t="s">
        <v>236</v>
      </c>
      <c r="F21" s="26" t="s">
        <v>237</v>
      </c>
      <c r="G21" s="26" t="s">
        <v>238</v>
      </c>
      <c r="H21" s="14" t="s">
        <v>239</v>
      </c>
      <c r="I21" s="15" t="s">
        <v>29</v>
      </c>
      <c r="J21" s="16" t="s">
        <v>240</v>
      </c>
      <c r="K21" s="17" t="b">
        <v>1</v>
      </c>
      <c r="L21" s="18">
        <v>12.0</v>
      </c>
      <c r="M21" s="18">
        <v>5.0</v>
      </c>
      <c r="O21" s="10">
        <f t="shared" si="3"/>
        <v>20</v>
      </c>
      <c r="P21" s="11" t="s">
        <v>234</v>
      </c>
      <c r="Q21" s="11" t="str">
        <f t="shared" si="4"/>
        <v>20_worker_strike</v>
      </c>
      <c r="R21" s="11" t="s">
        <v>241</v>
      </c>
      <c r="S21" s="15">
        <v>0.0</v>
      </c>
      <c r="T21" s="16" t="s">
        <v>32</v>
      </c>
      <c r="U21" s="17" t="b">
        <v>1</v>
      </c>
      <c r="V21" s="18">
        <v>12.0</v>
      </c>
      <c r="W21" s="18">
        <v>5.0</v>
      </c>
      <c r="X21" s="18">
        <v>0.0</v>
      </c>
      <c r="Y21" s="11" t="s">
        <v>242</v>
      </c>
      <c r="Z21" s="11" t="s">
        <v>243</v>
      </c>
      <c r="AC21" s="10">
        <v>5.0</v>
      </c>
      <c r="AD21" s="11" t="s">
        <v>61</v>
      </c>
      <c r="AE21" s="11" t="s">
        <v>36</v>
      </c>
      <c r="AF21" s="11" t="s">
        <v>50</v>
      </c>
      <c r="AG21" s="11">
        <v>-10.0</v>
      </c>
      <c r="AH21" s="11"/>
      <c r="AJ21" s="10">
        <v>19.0</v>
      </c>
      <c r="AK21" s="11" t="s">
        <v>36</v>
      </c>
      <c r="AL21" s="11" t="s">
        <v>72</v>
      </c>
      <c r="AM21" s="11" t="s">
        <v>232</v>
      </c>
      <c r="AN21" s="11">
        <v>80.0</v>
      </c>
      <c r="AO21" s="11" t="s">
        <v>234</v>
      </c>
      <c r="AP21" s="11" t="s">
        <v>236</v>
      </c>
      <c r="AQ21" s="11" t="s">
        <v>239</v>
      </c>
      <c r="AR21" s="15" t="s">
        <v>29</v>
      </c>
      <c r="AS21" s="16" t="s">
        <v>240</v>
      </c>
      <c r="AT21" s="8"/>
      <c r="AU21" s="8"/>
      <c r="AW21" s="8"/>
      <c r="AX21" s="8"/>
      <c r="AY21" s="8"/>
      <c r="AZ21" s="8"/>
      <c r="BA21" s="41"/>
      <c r="BB21" s="41"/>
      <c r="BC21" s="29"/>
      <c r="BD21" s="8"/>
      <c r="BE21" s="8"/>
    </row>
    <row r="22">
      <c r="A22" s="10">
        <f t="shared" si="1"/>
        <v>21</v>
      </c>
      <c r="B22" s="11" t="s">
        <v>244</v>
      </c>
      <c r="C22" s="11" t="str">
        <f t="shared" si="2"/>
        <v>21_cultural_festival</v>
      </c>
      <c r="D22" s="12" t="s">
        <v>245</v>
      </c>
      <c r="E22" s="11" t="s">
        <v>246</v>
      </c>
      <c r="F22" s="13" t="s">
        <v>247</v>
      </c>
      <c r="G22" s="13" t="s">
        <v>248</v>
      </c>
      <c r="H22" s="14" t="s">
        <v>249</v>
      </c>
      <c r="I22" s="30" t="s">
        <v>89</v>
      </c>
      <c r="J22" s="16" t="s">
        <v>240</v>
      </c>
      <c r="K22" s="17" t="b">
        <v>1</v>
      </c>
      <c r="L22" s="18">
        <v>12.0</v>
      </c>
      <c r="M22" s="18">
        <v>5.0</v>
      </c>
      <c r="O22" s="10">
        <f t="shared" si="3"/>
        <v>21</v>
      </c>
      <c r="P22" s="11" t="s">
        <v>244</v>
      </c>
      <c r="Q22" s="11" t="str">
        <f t="shared" si="4"/>
        <v>21_cultural_festival</v>
      </c>
      <c r="R22" s="11" t="s">
        <v>250</v>
      </c>
      <c r="S22" s="30">
        <v>1.0</v>
      </c>
      <c r="T22" s="16" t="s">
        <v>32</v>
      </c>
      <c r="U22" s="17" t="b">
        <v>1</v>
      </c>
      <c r="V22" s="18">
        <v>12.0</v>
      </c>
      <c r="W22" s="18">
        <v>5.0</v>
      </c>
      <c r="X22" s="18">
        <v>0.0</v>
      </c>
      <c r="Y22" s="11" t="s">
        <v>251</v>
      </c>
      <c r="Z22" s="11" t="s">
        <v>252</v>
      </c>
      <c r="AC22" s="10">
        <v>6.0</v>
      </c>
      <c r="AD22" s="11" t="s">
        <v>35</v>
      </c>
      <c r="AE22" s="11" t="s">
        <v>36</v>
      </c>
      <c r="AF22" s="11" t="s">
        <v>37</v>
      </c>
      <c r="AG22" s="11">
        <v>10.0</v>
      </c>
      <c r="AH22" s="11"/>
      <c r="AJ22" s="10">
        <v>19.0</v>
      </c>
      <c r="AK22" s="11" t="s">
        <v>253</v>
      </c>
      <c r="AL22" s="11" t="s">
        <v>254</v>
      </c>
      <c r="AM22" s="11" t="s">
        <v>255</v>
      </c>
      <c r="AN22" s="11" t="b">
        <v>1</v>
      </c>
      <c r="AO22" s="11" t="s">
        <v>244</v>
      </c>
      <c r="AP22" s="11" t="s">
        <v>256</v>
      </c>
      <c r="AQ22" s="11" t="s">
        <v>249</v>
      </c>
      <c r="AR22" s="30" t="s">
        <v>89</v>
      </c>
      <c r="AS22" s="16" t="s">
        <v>240</v>
      </c>
      <c r="AT22" s="8"/>
      <c r="AU22" s="8"/>
      <c r="AW22" s="8"/>
      <c r="AX22" s="8"/>
      <c r="AY22" s="8"/>
      <c r="AZ22" s="8"/>
      <c r="BA22" s="9" t="s">
        <v>234</v>
      </c>
      <c r="BB22" s="9" t="s">
        <v>235</v>
      </c>
      <c r="BC22" s="29"/>
      <c r="BD22" s="8"/>
      <c r="BE22" s="8"/>
    </row>
    <row r="23">
      <c r="A23" s="10">
        <f t="shared" si="1"/>
        <v>22</v>
      </c>
      <c r="B23" s="11" t="s">
        <v>257</v>
      </c>
      <c r="C23" s="11" t="str">
        <f t="shared" si="2"/>
        <v>22_population_growth</v>
      </c>
      <c r="D23" s="12" t="s">
        <v>258</v>
      </c>
      <c r="E23" s="11" t="s">
        <v>259</v>
      </c>
      <c r="F23" s="13" t="s">
        <v>76</v>
      </c>
      <c r="G23" s="13" t="s">
        <v>105</v>
      </c>
      <c r="H23" s="14" t="s">
        <v>260</v>
      </c>
      <c r="I23" s="15" t="s">
        <v>29</v>
      </c>
      <c r="J23" s="16" t="s">
        <v>240</v>
      </c>
      <c r="K23" s="17" t="b">
        <v>1</v>
      </c>
      <c r="L23" s="18">
        <v>12.0</v>
      </c>
      <c r="M23" s="18">
        <v>5.0</v>
      </c>
      <c r="O23" s="10">
        <f t="shared" si="3"/>
        <v>22</v>
      </c>
      <c r="P23" s="11" t="s">
        <v>257</v>
      </c>
      <c r="Q23" s="11" t="str">
        <f t="shared" si="4"/>
        <v>22_population_growth</v>
      </c>
      <c r="R23" s="11" t="s">
        <v>261</v>
      </c>
      <c r="S23" s="15">
        <v>0.0</v>
      </c>
      <c r="T23" s="16" t="s">
        <v>32</v>
      </c>
      <c r="U23" s="17" t="b">
        <v>1</v>
      </c>
      <c r="V23" s="18">
        <v>12.0</v>
      </c>
      <c r="W23" s="18">
        <v>5.0</v>
      </c>
      <c r="X23" s="18">
        <v>0.0</v>
      </c>
      <c r="Y23" s="11" t="s">
        <v>262</v>
      </c>
      <c r="Z23" s="11" t="s">
        <v>263</v>
      </c>
      <c r="AC23" s="10">
        <v>6.0</v>
      </c>
      <c r="AD23" s="11" t="s">
        <v>35</v>
      </c>
      <c r="AE23" s="11" t="s">
        <v>36</v>
      </c>
      <c r="AF23" s="11" t="s">
        <v>50</v>
      </c>
      <c r="AG23" s="11">
        <v>-5.0</v>
      </c>
      <c r="AH23" s="11"/>
      <c r="AJ23" s="10">
        <f t="shared" ref="AJ23:AJ36" si="6">ROW()-2</f>
        <v>21</v>
      </c>
      <c r="AK23" s="11"/>
      <c r="AL23" s="11"/>
      <c r="AM23" s="11"/>
      <c r="AN23" s="11"/>
      <c r="AO23" s="11" t="s">
        <v>257</v>
      </c>
      <c r="AP23" s="11" t="s">
        <v>259</v>
      </c>
      <c r="AQ23" s="11" t="s">
        <v>260</v>
      </c>
      <c r="AR23" s="15" t="s">
        <v>29</v>
      </c>
      <c r="AS23" s="16" t="s">
        <v>240</v>
      </c>
      <c r="AT23" s="8"/>
      <c r="AU23" s="8"/>
      <c r="AW23" s="8"/>
      <c r="AX23" s="8"/>
      <c r="AY23" s="8"/>
      <c r="AZ23" s="8"/>
      <c r="BA23" s="9" t="s">
        <v>244</v>
      </c>
      <c r="BB23" s="9" t="s">
        <v>245</v>
      </c>
      <c r="BC23" s="29"/>
      <c r="BD23" s="8"/>
      <c r="BE23" s="8"/>
    </row>
    <row r="24">
      <c r="A24" s="10">
        <f t="shared" si="1"/>
        <v>23</v>
      </c>
      <c r="B24" s="11" t="s">
        <v>264</v>
      </c>
      <c r="C24" s="11" t="str">
        <f t="shared" si="2"/>
        <v>23_new_colonists_arrive</v>
      </c>
      <c r="D24" s="12" t="s">
        <v>265</v>
      </c>
      <c r="E24" s="11" t="s">
        <v>266</v>
      </c>
      <c r="F24" s="13" t="s">
        <v>267</v>
      </c>
      <c r="G24" s="13" t="s">
        <v>86</v>
      </c>
      <c r="H24" s="14" t="s">
        <v>268</v>
      </c>
      <c r="I24" s="15" t="s">
        <v>29</v>
      </c>
      <c r="J24" s="16" t="s">
        <v>240</v>
      </c>
      <c r="K24" s="17" t="b">
        <v>1</v>
      </c>
      <c r="L24" s="18">
        <v>12.0</v>
      </c>
      <c r="M24" s="18">
        <v>5.0</v>
      </c>
      <c r="O24" s="10">
        <f t="shared" si="3"/>
        <v>23</v>
      </c>
      <c r="P24" s="11" t="s">
        <v>264</v>
      </c>
      <c r="Q24" s="11" t="str">
        <f t="shared" si="4"/>
        <v>23_new_colonists_arrive</v>
      </c>
      <c r="R24" s="11" t="s">
        <v>269</v>
      </c>
      <c r="S24" s="15">
        <v>0.0</v>
      </c>
      <c r="T24" s="16" t="s">
        <v>32</v>
      </c>
      <c r="U24" s="17" t="b">
        <v>1</v>
      </c>
      <c r="V24" s="18">
        <v>12.0</v>
      </c>
      <c r="W24" s="18">
        <v>5.0</v>
      </c>
      <c r="X24" s="18">
        <v>0.0</v>
      </c>
      <c r="Y24" s="11" t="s">
        <v>270</v>
      </c>
      <c r="Z24" s="11" t="s">
        <v>271</v>
      </c>
      <c r="AC24" s="10">
        <v>6.0</v>
      </c>
      <c r="AD24" s="11" t="s">
        <v>61</v>
      </c>
      <c r="AE24" s="11" t="s">
        <v>36</v>
      </c>
      <c r="AF24" s="11" t="s">
        <v>37</v>
      </c>
      <c r="AG24" s="11">
        <v>-8.0</v>
      </c>
      <c r="AH24" s="11"/>
      <c r="AJ24" s="10">
        <f t="shared" si="6"/>
        <v>22</v>
      </c>
      <c r="AK24" s="11"/>
      <c r="AL24" s="11"/>
      <c r="AM24" s="11"/>
      <c r="AN24" s="11"/>
      <c r="AO24" s="11" t="s">
        <v>264</v>
      </c>
      <c r="AP24" s="11" t="s">
        <v>266</v>
      </c>
      <c r="AQ24" s="11" t="s">
        <v>268</v>
      </c>
      <c r="AR24" s="15" t="s">
        <v>29</v>
      </c>
      <c r="AS24" s="16" t="s">
        <v>240</v>
      </c>
      <c r="AT24" s="8"/>
      <c r="AU24" s="8"/>
      <c r="AW24" s="8"/>
      <c r="AX24" s="8"/>
      <c r="AY24" s="8"/>
      <c r="AZ24" s="8"/>
      <c r="BA24" s="9" t="s">
        <v>257</v>
      </c>
      <c r="BB24" s="9" t="s">
        <v>258</v>
      </c>
      <c r="BC24" s="29"/>
      <c r="BD24" s="8"/>
      <c r="BE24" s="8"/>
    </row>
    <row r="25">
      <c r="A25" s="10">
        <f t="shared" si="1"/>
        <v>24</v>
      </c>
      <c r="B25" s="11" t="s">
        <v>272</v>
      </c>
      <c r="C25" s="11" t="str">
        <f t="shared" si="2"/>
        <v>24_mental_health_crisis</v>
      </c>
      <c r="D25" s="12" t="s">
        <v>273</v>
      </c>
      <c r="E25" s="11" t="s">
        <v>274</v>
      </c>
      <c r="F25" s="13" t="s">
        <v>275</v>
      </c>
      <c r="G25" s="13" t="s">
        <v>276</v>
      </c>
      <c r="H25" s="14" t="s">
        <v>277</v>
      </c>
      <c r="I25" s="30" t="s">
        <v>89</v>
      </c>
      <c r="J25" s="16" t="s">
        <v>240</v>
      </c>
      <c r="K25" s="17" t="b">
        <v>1</v>
      </c>
      <c r="L25" s="18">
        <v>12.0</v>
      </c>
      <c r="M25" s="18">
        <v>5.0</v>
      </c>
      <c r="O25" s="10">
        <f t="shared" si="3"/>
        <v>24</v>
      </c>
      <c r="P25" s="11" t="s">
        <v>272</v>
      </c>
      <c r="Q25" s="11" t="str">
        <f t="shared" si="4"/>
        <v>24_mental_health_crisis</v>
      </c>
      <c r="R25" s="11" t="s">
        <v>278</v>
      </c>
      <c r="S25" s="30">
        <v>1.0</v>
      </c>
      <c r="T25" s="16" t="s">
        <v>32</v>
      </c>
      <c r="U25" s="17" t="b">
        <v>1</v>
      </c>
      <c r="V25" s="18">
        <v>12.0</v>
      </c>
      <c r="W25" s="18">
        <v>5.0</v>
      </c>
      <c r="X25" s="18">
        <v>0.0</v>
      </c>
      <c r="Y25" s="11" t="s">
        <v>279</v>
      </c>
      <c r="Z25" s="11" t="s">
        <v>280</v>
      </c>
      <c r="AC25" s="10">
        <v>6.0</v>
      </c>
      <c r="AD25" s="11" t="s">
        <v>61</v>
      </c>
      <c r="AE25" s="11" t="s">
        <v>36</v>
      </c>
      <c r="AF25" s="11" t="s">
        <v>72</v>
      </c>
      <c r="AG25" s="11">
        <v>5.0</v>
      </c>
      <c r="AH25" s="11"/>
      <c r="AJ25" s="10">
        <f t="shared" si="6"/>
        <v>23</v>
      </c>
      <c r="AK25" s="11"/>
      <c r="AL25" s="11"/>
      <c r="AM25" s="11"/>
      <c r="AN25" s="11"/>
      <c r="AO25" s="11" t="s">
        <v>272</v>
      </c>
      <c r="AP25" s="11" t="s">
        <v>274</v>
      </c>
      <c r="AQ25" s="11" t="s">
        <v>277</v>
      </c>
      <c r="AR25" s="30" t="s">
        <v>89</v>
      </c>
      <c r="AS25" s="16" t="s">
        <v>240</v>
      </c>
      <c r="AT25" s="8"/>
      <c r="AU25" s="8"/>
      <c r="AV25" s="8"/>
      <c r="AW25" s="8"/>
      <c r="AX25" s="8"/>
      <c r="AY25" s="8"/>
      <c r="AZ25" s="8"/>
      <c r="BA25" s="9" t="s">
        <v>264</v>
      </c>
      <c r="BB25" s="9" t="s">
        <v>265</v>
      </c>
      <c r="BC25" s="29"/>
      <c r="BD25" s="8"/>
      <c r="BE25" s="8"/>
    </row>
    <row r="26">
      <c r="A26" s="10">
        <f t="shared" si="1"/>
        <v>25</v>
      </c>
      <c r="B26" s="11" t="s">
        <v>281</v>
      </c>
      <c r="C26" s="11" t="str">
        <f t="shared" si="2"/>
        <v>25_religious_movement</v>
      </c>
      <c r="D26" s="12" t="s">
        <v>282</v>
      </c>
      <c r="E26" s="11" t="s">
        <v>283</v>
      </c>
      <c r="F26" s="26" t="s">
        <v>284</v>
      </c>
      <c r="G26" s="26" t="s">
        <v>105</v>
      </c>
      <c r="H26" s="14" t="s">
        <v>285</v>
      </c>
      <c r="I26" s="30" t="s">
        <v>89</v>
      </c>
      <c r="J26" s="16" t="s">
        <v>240</v>
      </c>
      <c r="K26" s="17" t="b">
        <v>1</v>
      </c>
      <c r="L26" s="18">
        <v>12.0</v>
      </c>
      <c r="M26" s="18">
        <v>5.0</v>
      </c>
      <c r="O26" s="10">
        <f t="shared" si="3"/>
        <v>25</v>
      </c>
      <c r="P26" s="11" t="s">
        <v>281</v>
      </c>
      <c r="Q26" s="11" t="str">
        <f t="shared" si="4"/>
        <v>25_religious_movement</v>
      </c>
      <c r="R26" s="11" t="s">
        <v>286</v>
      </c>
      <c r="S26" s="30">
        <v>1.0</v>
      </c>
      <c r="T26" s="16" t="s">
        <v>32</v>
      </c>
      <c r="U26" s="17" t="b">
        <v>1</v>
      </c>
      <c r="V26" s="18">
        <v>12.0</v>
      </c>
      <c r="W26" s="18">
        <v>5.0</v>
      </c>
      <c r="X26" s="18">
        <v>0.0</v>
      </c>
      <c r="Y26" s="11" t="s">
        <v>287</v>
      </c>
      <c r="Z26" s="11" t="s">
        <v>288</v>
      </c>
      <c r="AC26" s="10">
        <v>7.0</v>
      </c>
      <c r="AD26" s="11" t="s">
        <v>35</v>
      </c>
      <c r="AE26" s="11" t="s">
        <v>36</v>
      </c>
      <c r="AF26" s="11" t="s">
        <v>37</v>
      </c>
      <c r="AG26" s="11">
        <v>-15.0</v>
      </c>
      <c r="AH26" s="11"/>
      <c r="AJ26" s="10">
        <f t="shared" si="6"/>
        <v>24</v>
      </c>
      <c r="AK26" s="11"/>
      <c r="AL26" s="11"/>
      <c r="AM26" s="11"/>
      <c r="AN26" s="11"/>
      <c r="AO26" s="11" t="s">
        <v>281</v>
      </c>
      <c r="AP26" s="11" t="s">
        <v>283</v>
      </c>
      <c r="AQ26" s="11" t="s">
        <v>285</v>
      </c>
      <c r="AR26" s="30" t="s">
        <v>89</v>
      </c>
      <c r="AS26" s="16" t="s">
        <v>240</v>
      </c>
      <c r="AT26" s="8"/>
      <c r="AU26" s="8"/>
      <c r="AW26" s="8"/>
      <c r="AX26" s="8"/>
      <c r="AY26" s="8"/>
      <c r="AZ26" s="8"/>
      <c r="BA26" s="9" t="s">
        <v>272</v>
      </c>
      <c r="BB26" s="9" t="s">
        <v>273</v>
      </c>
      <c r="BC26" s="29"/>
      <c r="BD26" s="8"/>
      <c r="BE26" s="8"/>
    </row>
    <row r="27">
      <c r="A27" s="10">
        <f t="shared" si="1"/>
        <v>26</v>
      </c>
      <c r="B27" s="11" t="s">
        <v>289</v>
      </c>
      <c r="C27" s="11" t="str">
        <f t="shared" si="2"/>
        <v>26_education_initiative</v>
      </c>
      <c r="D27" s="12" t="s">
        <v>290</v>
      </c>
      <c r="E27" s="11" t="s">
        <v>291</v>
      </c>
      <c r="F27" s="13" t="s">
        <v>292</v>
      </c>
      <c r="G27" s="13" t="s">
        <v>86</v>
      </c>
      <c r="H27" s="14" t="s">
        <v>293</v>
      </c>
      <c r="I27" s="15" t="s">
        <v>29</v>
      </c>
      <c r="J27" s="16" t="s">
        <v>240</v>
      </c>
      <c r="K27" s="17" t="b">
        <v>1</v>
      </c>
      <c r="L27" s="18">
        <v>12.0</v>
      </c>
      <c r="M27" s="18">
        <v>5.0</v>
      </c>
      <c r="O27" s="10">
        <f t="shared" si="3"/>
        <v>26</v>
      </c>
      <c r="P27" s="11" t="s">
        <v>289</v>
      </c>
      <c r="Q27" s="11" t="str">
        <f t="shared" si="4"/>
        <v>26_education_initiative</v>
      </c>
      <c r="R27" s="11" t="s">
        <v>294</v>
      </c>
      <c r="S27" s="15">
        <v>0.0</v>
      </c>
      <c r="T27" s="16" t="s">
        <v>32</v>
      </c>
      <c r="U27" s="17" t="b">
        <v>1</v>
      </c>
      <c r="V27" s="18">
        <v>12.0</v>
      </c>
      <c r="W27" s="18">
        <v>5.0</v>
      </c>
      <c r="X27" s="18">
        <v>0.0</v>
      </c>
      <c r="Y27" s="11" t="s">
        <v>295</v>
      </c>
      <c r="Z27" s="11" t="s">
        <v>296</v>
      </c>
      <c r="AC27" s="10">
        <v>7.0</v>
      </c>
      <c r="AD27" s="11" t="s">
        <v>35</v>
      </c>
      <c r="AE27" s="11" t="s">
        <v>36</v>
      </c>
      <c r="AF27" s="11" t="s">
        <v>162</v>
      </c>
      <c r="AG27" s="11">
        <v>5.0</v>
      </c>
      <c r="AH27" s="11"/>
      <c r="AJ27" s="10">
        <f t="shared" si="6"/>
        <v>25</v>
      </c>
      <c r="AK27" s="11"/>
      <c r="AL27" s="11"/>
      <c r="AM27" s="11"/>
      <c r="AN27" s="11"/>
      <c r="AO27" s="11" t="s">
        <v>289</v>
      </c>
      <c r="AP27" s="11" t="s">
        <v>291</v>
      </c>
      <c r="AQ27" s="11" t="s">
        <v>293</v>
      </c>
      <c r="AR27" s="15" t="s">
        <v>29</v>
      </c>
      <c r="AS27" s="16" t="s">
        <v>240</v>
      </c>
      <c r="AT27" s="8"/>
      <c r="AU27" s="8"/>
      <c r="AW27" s="8"/>
      <c r="AX27" s="8"/>
      <c r="AY27" s="8"/>
      <c r="AZ27" s="8"/>
      <c r="BA27" s="9" t="s">
        <v>281</v>
      </c>
      <c r="BB27" s="9" t="s">
        <v>282</v>
      </c>
      <c r="BC27" s="29"/>
      <c r="BD27" s="8"/>
      <c r="BE27" s="8"/>
    </row>
    <row r="28">
      <c r="A28" s="10">
        <f t="shared" si="1"/>
        <v>27</v>
      </c>
      <c r="B28" s="11" t="s">
        <v>297</v>
      </c>
      <c r="C28" s="11" t="str">
        <f t="shared" si="2"/>
        <v>27_black_market_trading</v>
      </c>
      <c r="D28" s="12" t="s">
        <v>298</v>
      </c>
      <c r="E28" s="11" t="s">
        <v>299</v>
      </c>
      <c r="F28" s="13" t="s">
        <v>300</v>
      </c>
      <c r="G28" s="13" t="s">
        <v>301</v>
      </c>
      <c r="H28" s="14" t="s">
        <v>302</v>
      </c>
      <c r="I28" s="30" t="s">
        <v>89</v>
      </c>
      <c r="J28" s="16" t="s">
        <v>240</v>
      </c>
      <c r="K28" s="17" t="b">
        <v>1</v>
      </c>
      <c r="L28" s="18">
        <v>12.0</v>
      </c>
      <c r="M28" s="18">
        <v>5.0</v>
      </c>
      <c r="O28" s="10">
        <f t="shared" si="3"/>
        <v>27</v>
      </c>
      <c r="P28" s="11" t="s">
        <v>297</v>
      </c>
      <c r="Q28" s="11" t="str">
        <f t="shared" si="4"/>
        <v>27_black_market_trading</v>
      </c>
      <c r="R28" s="11" t="s">
        <v>303</v>
      </c>
      <c r="S28" s="30">
        <v>1.0</v>
      </c>
      <c r="T28" s="16" t="s">
        <v>32</v>
      </c>
      <c r="U28" s="17" t="b">
        <v>1</v>
      </c>
      <c r="V28" s="18">
        <v>12.0</v>
      </c>
      <c r="W28" s="18">
        <v>5.0</v>
      </c>
      <c r="X28" s="18">
        <v>0.0</v>
      </c>
      <c r="Y28" s="11" t="s">
        <v>304</v>
      </c>
      <c r="Z28" s="11" t="s">
        <v>305</v>
      </c>
      <c r="AC28" s="10">
        <v>7.0</v>
      </c>
      <c r="AD28" s="11" t="s">
        <v>61</v>
      </c>
      <c r="AE28" s="11" t="s">
        <v>36</v>
      </c>
      <c r="AF28" s="11" t="s">
        <v>37</v>
      </c>
      <c r="AG28" s="11">
        <f>5</f>
        <v>5</v>
      </c>
      <c r="AH28" s="11"/>
      <c r="AJ28" s="10">
        <f t="shared" si="6"/>
        <v>26</v>
      </c>
      <c r="AK28" s="11"/>
      <c r="AL28" s="11"/>
      <c r="AM28" s="11"/>
      <c r="AN28" s="11"/>
      <c r="AO28" s="11" t="s">
        <v>297</v>
      </c>
      <c r="AP28" s="11" t="s">
        <v>299</v>
      </c>
      <c r="AQ28" s="11" t="s">
        <v>302</v>
      </c>
      <c r="AR28" s="30" t="s">
        <v>89</v>
      </c>
      <c r="AS28" s="16" t="s">
        <v>240</v>
      </c>
      <c r="AT28" s="8"/>
      <c r="AU28" s="8"/>
      <c r="AW28" s="8"/>
      <c r="AX28" s="8"/>
      <c r="AY28" s="8"/>
      <c r="AZ28" s="8"/>
      <c r="BA28" s="9" t="s">
        <v>289</v>
      </c>
      <c r="BB28" s="9" t="s">
        <v>290</v>
      </c>
      <c r="BC28" s="29"/>
      <c r="BD28" s="8"/>
      <c r="BE28" s="8"/>
    </row>
    <row r="29">
      <c r="A29" s="10">
        <f t="shared" si="1"/>
        <v>28</v>
      </c>
      <c r="B29" s="11" t="s">
        <v>306</v>
      </c>
      <c r="C29" s="11" t="str">
        <f t="shared" si="2"/>
        <v>28_colony_expansion</v>
      </c>
      <c r="D29" s="12" t="s">
        <v>307</v>
      </c>
      <c r="E29" s="11" t="s">
        <v>308</v>
      </c>
      <c r="F29" s="13" t="s">
        <v>309</v>
      </c>
      <c r="G29" s="13" t="s">
        <v>310</v>
      </c>
      <c r="H29" s="14" t="s">
        <v>311</v>
      </c>
      <c r="I29" s="30" t="s">
        <v>89</v>
      </c>
      <c r="J29" s="16" t="s">
        <v>240</v>
      </c>
      <c r="K29" s="17" t="b">
        <v>1</v>
      </c>
      <c r="L29" s="18">
        <v>12.0</v>
      </c>
      <c r="M29" s="18">
        <v>5.0</v>
      </c>
      <c r="O29" s="10">
        <f t="shared" si="3"/>
        <v>28</v>
      </c>
      <c r="P29" s="11" t="s">
        <v>306</v>
      </c>
      <c r="Q29" s="11" t="str">
        <f t="shared" si="4"/>
        <v>28_colony_expansion</v>
      </c>
      <c r="R29" s="11" t="s">
        <v>312</v>
      </c>
      <c r="S29" s="30">
        <v>1.0</v>
      </c>
      <c r="T29" s="16" t="s">
        <v>32</v>
      </c>
      <c r="U29" s="17" t="b">
        <v>1</v>
      </c>
      <c r="V29" s="18">
        <v>12.0</v>
      </c>
      <c r="W29" s="18">
        <v>5.0</v>
      </c>
      <c r="X29" s="18">
        <v>0.0</v>
      </c>
      <c r="Y29" s="11" t="s">
        <v>230</v>
      </c>
      <c r="Z29" s="11" t="s">
        <v>313</v>
      </c>
      <c r="AC29" s="10">
        <v>7.0</v>
      </c>
      <c r="AD29" s="11" t="s">
        <v>61</v>
      </c>
      <c r="AE29" s="11" t="s">
        <v>36</v>
      </c>
      <c r="AF29" s="11" t="s">
        <v>72</v>
      </c>
      <c r="AG29" s="11">
        <v>-5.0</v>
      </c>
      <c r="AH29" s="11"/>
      <c r="AJ29" s="10">
        <f t="shared" si="6"/>
        <v>27</v>
      </c>
      <c r="AK29" s="11"/>
      <c r="AL29" s="11"/>
      <c r="AM29" s="11"/>
      <c r="AN29" s="11"/>
      <c r="AO29" s="11" t="s">
        <v>306</v>
      </c>
      <c r="AP29" s="11" t="s">
        <v>308</v>
      </c>
      <c r="AQ29" s="11" t="s">
        <v>311</v>
      </c>
      <c r="AR29" s="30" t="s">
        <v>89</v>
      </c>
      <c r="AS29" s="16" t="s">
        <v>240</v>
      </c>
      <c r="AT29" s="8"/>
      <c r="AU29" s="8"/>
      <c r="AW29" s="8"/>
      <c r="AX29" s="8"/>
      <c r="AY29" s="8"/>
      <c r="AZ29" s="8"/>
      <c r="BA29" s="9" t="s">
        <v>297</v>
      </c>
      <c r="BB29" s="9" t="s">
        <v>298</v>
      </c>
      <c r="BC29" s="42"/>
      <c r="BD29" s="8"/>
      <c r="BE29" s="8"/>
    </row>
    <row r="30">
      <c r="A30" s="10">
        <f t="shared" si="1"/>
        <v>29</v>
      </c>
      <c r="B30" s="11" t="s">
        <v>314</v>
      </c>
      <c r="C30" s="11" t="str">
        <f t="shared" si="2"/>
        <v>29_mass_exodus</v>
      </c>
      <c r="D30" s="12" t="s">
        <v>315</v>
      </c>
      <c r="E30" s="11" t="s">
        <v>316</v>
      </c>
      <c r="F30" s="13" t="s">
        <v>317</v>
      </c>
      <c r="G30" s="13" t="s">
        <v>318</v>
      </c>
      <c r="H30" s="14" t="s">
        <v>319</v>
      </c>
      <c r="I30" s="37" t="s">
        <v>209</v>
      </c>
      <c r="J30" s="16" t="s">
        <v>240</v>
      </c>
      <c r="K30" s="17" t="b">
        <v>1</v>
      </c>
      <c r="L30" s="18">
        <v>12.0</v>
      </c>
      <c r="M30" s="18">
        <v>5.0</v>
      </c>
      <c r="O30" s="10">
        <f t="shared" si="3"/>
        <v>29</v>
      </c>
      <c r="P30" s="11" t="s">
        <v>314</v>
      </c>
      <c r="Q30" s="11" t="str">
        <f t="shared" si="4"/>
        <v>29_mass_exodus</v>
      </c>
      <c r="R30" s="11" t="s">
        <v>320</v>
      </c>
      <c r="S30" s="37">
        <v>2.0</v>
      </c>
      <c r="T30" s="16" t="s">
        <v>32</v>
      </c>
      <c r="U30" s="17" t="b">
        <v>1</v>
      </c>
      <c r="V30" s="18">
        <v>12.0</v>
      </c>
      <c r="W30" s="18">
        <v>5.0</v>
      </c>
      <c r="X30" s="18">
        <v>0.0</v>
      </c>
      <c r="Y30" s="11" t="s">
        <v>321</v>
      </c>
      <c r="Z30" s="11" t="s">
        <v>322</v>
      </c>
      <c r="AC30" s="10">
        <v>8.0</v>
      </c>
      <c r="AD30" s="11" t="s">
        <v>35</v>
      </c>
      <c r="AE30" s="11" t="s">
        <v>36</v>
      </c>
      <c r="AF30" s="11" t="s">
        <v>162</v>
      </c>
      <c r="AG30" s="11">
        <v>5.0</v>
      </c>
      <c r="AH30" s="11"/>
      <c r="AJ30" s="10">
        <f t="shared" si="6"/>
        <v>28</v>
      </c>
      <c r="AK30" s="11"/>
      <c r="AL30" s="11"/>
      <c r="AM30" s="11"/>
      <c r="AN30" s="11"/>
      <c r="AO30" s="11" t="s">
        <v>314</v>
      </c>
      <c r="AP30" s="11" t="s">
        <v>316</v>
      </c>
      <c r="AQ30" s="11" t="s">
        <v>319</v>
      </c>
      <c r="AR30" s="37" t="s">
        <v>209</v>
      </c>
      <c r="AS30" s="16" t="s">
        <v>240</v>
      </c>
      <c r="AT30" s="8"/>
      <c r="AU30" s="8"/>
      <c r="AW30" s="8"/>
      <c r="AX30" s="8"/>
      <c r="AY30" s="8"/>
      <c r="AZ30" s="8"/>
      <c r="BA30" s="9" t="s">
        <v>306</v>
      </c>
      <c r="BB30" s="9" t="s">
        <v>307</v>
      </c>
      <c r="BC30" s="29"/>
      <c r="BD30" s="8"/>
      <c r="BE30" s="8"/>
    </row>
    <row r="31">
      <c r="A31" s="10">
        <f t="shared" si="1"/>
        <v>30</v>
      </c>
      <c r="B31" s="11" t="s">
        <v>323</v>
      </c>
      <c r="C31" s="11" t="str">
        <f t="shared" si="2"/>
        <v>30_human_enhancement_program</v>
      </c>
      <c r="D31" s="12" t="s">
        <v>324</v>
      </c>
      <c r="E31" s="11" t="s">
        <v>325</v>
      </c>
      <c r="F31" s="26" t="s">
        <v>326</v>
      </c>
      <c r="G31" s="26" t="s">
        <v>327</v>
      </c>
      <c r="H31" s="14" t="s">
        <v>328</v>
      </c>
      <c r="I31" s="37" t="s">
        <v>209</v>
      </c>
      <c r="J31" s="16" t="s">
        <v>240</v>
      </c>
      <c r="K31" s="17" t="b">
        <v>1</v>
      </c>
      <c r="L31" s="18">
        <v>12.0</v>
      </c>
      <c r="M31" s="18">
        <v>5.0</v>
      </c>
      <c r="O31" s="10">
        <f t="shared" si="3"/>
        <v>30</v>
      </c>
      <c r="P31" s="11" t="s">
        <v>323</v>
      </c>
      <c r="Q31" s="11" t="str">
        <f t="shared" si="4"/>
        <v>30_human_enhancement_program</v>
      </c>
      <c r="R31" s="11" t="s">
        <v>329</v>
      </c>
      <c r="S31" s="37">
        <v>2.0</v>
      </c>
      <c r="T31" s="16" t="s">
        <v>32</v>
      </c>
      <c r="U31" s="17" t="b">
        <v>1</v>
      </c>
      <c r="V31" s="18">
        <v>12.0</v>
      </c>
      <c r="W31" s="18">
        <v>5.0</v>
      </c>
      <c r="X31" s="18">
        <v>0.0</v>
      </c>
      <c r="Y31" s="11" t="s">
        <v>330</v>
      </c>
      <c r="Z31" s="11" t="s">
        <v>331</v>
      </c>
      <c r="AC31" s="10">
        <v>8.0</v>
      </c>
      <c r="AD31" s="11" t="s">
        <v>35</v>
      </c>
      <c r="AE31" s="11" t="s">
        <v>36</v>
      </c>
      <c r="AF31" s="11" t="s">
        <v>332</v>
      </c>
      <c r="AG31" s="11">
        <v>-10.0</v>
      </c>
      <c r="AH31" s="11"/>
      <c r="AJ31" s="10">
        <f t="shared" si="6"/>
        <v>29</v>
      </c>
      <c r="AK31" s="11"/>
      <c r="AL31" s="11"/>
      <c r="AM31" s="11"/>
      <c r="AN31" s="11"/>
      <c r="AO31" s="11" t="s">
        <v>323</v>
      </c>
      <c r="AP31" s="11" t="s">
        <v>325</v>
      </c>
      <c r="AQ31" s="11" t="s">
        <v>328</v>
      </c>
      <c r="AR31" s="37" t="s">
        <v>209</v>
      </c>
      <c r="AS31" s="16" t="s">
        <v>240</v>
      </c>
      <c r="AT31" s="8"/>
      <c r="AU31" s="8"/>
      <c r="AV31" s="8"/>
      <c r="AW31" s="8"/>
      <c r="AX31" s="8"/>
      <c r="AY31" s="8"/>
      <c r="AZ31" s="8"/>
      <c r="BA31" s="9" t="s">
        <v>314</v>
      </c>
      <c r="BB31" s="9" t="s">
        <v>315</v>
      </c>
      <c r="BC31" s="43"/>
      <c r="BD31" s="8"/>
      <c r="BE31" s="8"/>
    </row>
    <row r="32">
      <c r="A32" s="10">
        <f t="shared" si="1"/>
        <v>31</v>
      </c>
      <c r="B32" s="11" t="s">
        <v>333</v>
      </c>
      <c r="C32" s="11" t="str">
        <f t="shared" si="2"/>
        <v>31_faction_rivalry</v>
      </c>
      <c r="D32" s="12" t="s">
        <v>334</v>
      </c>
      <c r="E32" s="11" t="s">
        <v>335</v>
      </c>
      <c r="F32" s="13" t="s">
        <v>105</v>
      </c>
      <c r="G32" s="13" t="s">
        <v>336</v>
      </c>
      <c r="H32" s="14" t="s">
        <v>337</v>
      </c>
      <c r="I32" s="15" t="s">
        <v>29</v>
      </c>
      <c r="J32" s="16" t="s">
        <v>338</v>
      </c>
      <c r="K32" s="17" t="b">
        <v>1</v>
      </c>
      <c r="L32" s="18">
        <v>12.0</v>
      </c>
      <c r="M32" s="18">
        <v>5.0</v>
      </c>
      <c r="O32" s="10">
        <f t="shared" si="3"/>
        <v>31</v>
      </c>
      <c r="P32" s="11" t="s">
        <v>333</v>
      </c>
      <c r="Q32" s="11" t="str">
        <f t="shared" si="4"/>
        <v>31_faction_rivalry</v>
      </c>
      <c r="R32" s="11" t="s">
        <v>339</v>
      </c>
      <c r="S32" s="15">
        <v>0.0</v>
      </c>
      <c r="T32" s="16" t="s">
        <v>338</v>
      </c>
      <c r="U32" s="17" t="b">
        <v>1</v>
      </c>
      <c r="V32" s="18">
        <v>12.0</v>
      </c>
      <c r="W32" s="18">
        <v>5.0</v>
      </c>
      <c r="X32" s="18">
        <v>1.0</v>
      </c>
      <c r="Y32" s="11" t="s">
        <v>340</v>
      </c>
      <c r="Z32" s="11" t="s">
        <v>341</v>
      </c>
      <c r="AC32" s="10">
        <v>8.0</v>
      </c>
      <c r="AD32" s="11" t="s">
        <v>61</v>
      </c>
      <c r="AE32" s="11" t="s">
        <v>36</v>
      </c>
      <c r="AF32" s="11" t="s">
        <v>37</v>
      </c>
      <c r="AG32" s="11">
        <v>-10.0</v>
      </c>
      <c r="AH32" s="11"/>
      <c r="AJ32" s="10">
        <f t="shared" si="6"/>
        <v>30</v>
      </c>
      <c r="AK32" s="11"/>
      <c r="AL32" s="11"/>
      <c r="AM32" s="11"/>
      <c r="AN32" s="11"/>
      <c r="AO32" s="11" t="s">
        <v>333</v>
      </c>
      <c r="AP32" s="11" t="s">
        <v>335</v>
      </c>
      <c r="AQ32" s="11" t="s">
        <v>337</v>
      </c>
      <c r="AR32" s="15" t="s">
        <v>29</v>
      </c>
      <c r="AS32" s="16" t="s">
        <v>338</v>
      </c>
      <c r="AT32" s="8"/>
      <c r="AU32" s="8"/>
      <c r="AW32" s="8"/>
      <c r="AX32" s="8"/>
      <c r="AY32" s="8"/>
      <c r="AZ32" s="8"/>
      <c r="BA32" s="9" t="s">
        <v>323</v>
      </c>
      <c r="BB32" s="9" t="s">
        <v>324</v>
      </c>
      <c r="BC32" s="43"/>
      <c r="BD32" s="8"/>
      <c r="BE32" s="8"/>
    </row>
    <row r="33">
      <c r="A33" s="10">
        <f t="shared" si="1"/>
        <v>32</v>
      </c>
      <c r="B33" s="11" t="s">
        <v>342</v>
      </c>
      <c r="C33" s="11" t="str">
        <f t="shared" si="2"/>
        <v>32_coup_attempt</v>
      </c>
      <c r="D33" s="12" t="s">
        <v>343</v>
      </c>
      <c r="E33" s="11" t="s">
        <v>344</v>
      </c>
      <c r="F33" s="13" t="s">
        <v>345</v>
      </c>
      <c r="G33" s="13" t="s">
        <v>346</v>
      </c>
      <c r="H33" s="14" t="s">
        <v>347</v>
      </c>
      <c r="I33" s="37" t="s">
        <v>209</v>
      </c>
      <c r="J33" s="16" t="s">
        <v>338</v>
      </c>
      <c r="K33" s="17" t="b">
        <v>1</v>
      </c>
      <c r="L33" s="18">
        <v>12.0</v>
      </c>
      <c r="M33" s="18">
        <v>5.0</v>
      </c>
      <c r="O33" s="10">
        <f t="shared" si="3"/>
        <v>32</v>
      </c>
      <c r="P33" s="11" t="s">
        <v>342</v>
      </c>
      <c r="Q33" s="11" t="str">
        <f t="shared" si="4"/>
        <v>32_coup_attempt</v>
      </c>
      <c r="R33" s="11" t="s">
        <v>348</v>
      </c>
      <c r="S33" s="37">
        <v>2.0</v>
      </c>
      <c r="T33" s="16" t="s">
        <v>338</v>
      </c>
      <c r="U33" s="17" t="b">
        <v>1</v>
      </c>
      <c r="V33" s="18">
        <v>12.0</v>
      </c>
      <c r="W33" s="18">
        <v>5.0</v>
      </c>
      <c r="X33" s="18">
        <v>2.0</v>
      </c>
      <c r="Y33" s="11" t="s">
        <v>349</v>
      </c>
      <c r="Z33" s="11" t="s">
        <v>242</v>
      </c>
      <c r="AC33" s="10">
        <v>8.0</v>
      </c>
      <c r="AD33" s="11" t="s">
        <v>61</v>
      </c>
      <c r="AE33" s="11" t="s">
        <v>36</v>
      </c>
      <c r="AF33" s="11" t="s">
        <v>72</v>
      </c>
      <c r="AG33" s="11">
        <v>5.0</v>
      </c>
      <c r="AH33" s="11"/>
      <c r="AJ33" s="10">
        <f t="shared" si="6"/>
        <v>31</v>
      </c>
      <c r="AK33" s="11"/>
      <c r="AL33" s="11"/>
      <c r="AM33" s="11"/>
      <c r="AN33" s="11"/>
      <c r="AO33" s="11" t="s">
        <v>342</v>
      </c>
      <c r="AP33" s="11" t="s">
        <v>344</v>
      </c>
      <c r="AQ33" s="11" t="s">
        <v>347</v>
      </c>
      <c r="AR33" s="37" t="s">
        <v>209</v>
      </c>
      <c r="AS33" s="16" t="s">
        <v>338</v>
      </c>
      <c r="AT33" s="8"/>
      <c r="AU33" s="8"/>
      <c r="AW33" s="8"/>
      <c r="AX33" s="8"/>
      <c r="AY33" s="8"/>
      <c r="AZ33" s="8"/>
      <c r="BA33" s="9" t="s">
        <v>333</v>
      </c>
      <c r="BB33" s="9" t="s">
        <v>334</v>
      </c>
      <c r="BC33" s="43"/>
      <c r="BD33" s="8"/>
      <c r="BE33" s="8"/>
    </row>
    <row r="34">
      <c r="A34" s="10">
        <f t="shared" si="1"/>
        <v>33</v>
      </c>
      <c r="B34" s="11" t="s">
        <v>350</v>
      </c>
      <c r="C34" s="11" t="str">
        <f t="shared" si="2"/>
        <v>33_corporate_takeover</v>
      </c>
      <c r="D34" s="12" t="s">
        <v>351</v>
      </c>
      <c r="E34" s="11" t="s">
        <v>352</v>
      </c>
      <c r="F34" s="13" t="s">
        <v>353</v>
      </c>
      <c r="G34" s="13" t="s">
        <v>354</v>
      </c>
      <c r="H34" s="14" t="s">
        <v>355</v>
      </c>
      <c r="I34" s="30" t="s">
        <v>89</v>
      </c>
      <c r="J34" s="16" t="s">
        <v>338</v>
      </c>
      <c r="K34" s="17" t="b">
        <v>1</v>
      </c>
      <c r="L34" s="18">
        <v>12.0</v>
      </c>
      <c r="M34" s="18">
        <v>5.0</v>
      </c>
      <c r="O34" s="10">
        <f t="shared" si="3"/>
        <v>33</v>
      </c>
      <c r="P34" s="11" t="s">
        <v>350</v>
      </c>
      <c r="Q34" s="11" t="str">
        <f t="shared" si="4"/>
        <v>33_corporate_takeover</v>
      </c>
      <c r="R34" s="11" t="s">
        <v>356</v>
      </c>
      <c r="S34" s="30">
        <v>1.0</v>
      </c>
      <c r="T34" s="16" t="s">
        <v>338</v>
      </c>
      <c r="U34" s="17" t="b">
        <v>1</v>
      </c>
      <c r="V34" s="18">
        <v>12.0</v>
      </c>
      <c r="W34" s="18">
        <v>5.0</v>
      </c>
      <c r="X34" s="18">
        <v>3.0</v>
      </c>
      <c r="Y34" s="11" t="s">
        <v>357</v>
      </c>
      <c r="Z34" s="11" t="s">
        <v>358</v>
      </c>
      <c r="AC34" s="10">
        <v>9.0</v>
      </c>
      <c r="AD34" s="11" t="s">
        <v>35</v>
      </c>
      <c r="AE34" s="11" t="s">
        <v>36</v>
      </c>
      <c r="AF34" s="11" t="s">
        <v>37</v>
      </c>
      <c r="AG34" s="11">
        <v>-5.0</v>
      </c>
      <c r="AH34" s="11"/>
      <c r="AJ34" s="10">
        <f t="shared" si="6"/>
        <v>32</v>
      </c>
      <c r="AK34" s="11"/>
      <c r="AL34" s="11"/>
      <c r="AM34" s="11"/>
      <c r="AN34" s="11"/>
      <c r="AO34" s="11" t="s">
        <v>350</v>
      </c>
      <c r="AP34" s="11" t="s">
        <v>352</v>
      </c>
      <c r="AQ34" s="11" t="s">
        <v>355</v>
      </c>
      <c r="AR34" s="30" t="s">
        <v>89</v>
      </c>
      <c r="AS34" s="16" t="s">
        <v>338</v>
      </c>
      <c r="AT34" s="8"/>
      <c r="AU34" s="8"/>
      <c r="AW34" s="8"/>
      <c r="AX34" s="8"/>
      <c r="AY34" s="8"/>
      <c r="AZ34" s="8"/>
      <c r="BA34" s="9" t="s">
        <v>342</v>
      </c>
      <c r="BB34" s="9" t="s">
        <v>343</v>
      </c>
      <c r="BC34" s="8"/>
      <c r="BD34" s="8"/>
      <c r="BE34" s="8"/>
    </row>
    <row r="35">
      <c r="A35" s="10">
        <f t="shared" si="1"/>
        <v>34</v>
      </c>
      <c r="B35" s="11" t="s">
        <v>359</v>
      </c>
      <c r="C35" s="11" t="str">
        <f t="shared" si="2"/>
        <v>34_independence_movement</v>
      </c>
      <c r="D35" s="12" t="s">
        <v>360</v>
      </c>
      <c r="E35" s="11" t="s">
        <v>361</v>
      </c>
      <c r="F35" s="13" t="s">
        <v>362</v>
      </c>
      <c r="G35" s="13" t="s">
        <v>363</v>
      </c>
      <c r="H35" s="14" t="s">
        <v>364</v>
      </c>
      <c r="I35" s="37" t="s">
        <v>209</v>
      </c>
      <c r="J35" s="16" t="s">
        <v>338</v>
      </c>
      <c r="K35" s="17" t="b">
        <v>1</v>
      </c>
      <c r="L35" s="18">
        <v>12.0</v>
      </c>
      <c r="M35" s="18">
        <v>5.0</v>
      </c>
      <c r="O35" s="10">
        <f t="shared" si="3"/>
        <v>34</v>
      </c>
      <c r="P35" s="11" t="s">
        <v>359</v>
      </c>
      <c r="Q35" s="11" t="str">
        <f t="shared" si="4"/>
        <v>34_independence_movement</v>
      </c>
      <c r="R35" s="11" t="s">
        <v>365</v>
      </c>
      <c r="S35" s="37">
        <v>2.0</v>
      </c>
      <c r="T35" s="16" t="s">
        <v>338</v>
      </c>
      <c r="U35" s="17" t="b">
        <v>1</v>
      </c>
      <c r="V35" s="18">
        <v>12.0</v>
      </c>
      <c r="W35" s="18">
        <v>5.0</v>
      </c>
      <c r="X35" s="18">
        <v>4.0</v>
      </c>
      <c r="Y35" s="11" t="s">
        <v>366</v>
      </c>
      <c r="Z35" s="11" t="s">
        <v>367</v>
      </c>
      <c r="AC35" s="10">
        <v>9.0</v>
      </c>
      <c r="AD35" s="11" t="s">
        <v>35</v>
      </c>
      <c r="AE35" s="11" t="s">
        <v>36</v>
      </c>
      <c r="AF35" s="11" t="s">
        <v>72</v>
      </c>
      <c r="AG35" s="11">
        <f>5</f>
        <v>5</v>
      </c>
      <c r="AH35" s="11"/>
      <c r="AJ35" s="10">
        <f t="shared" si="6"/>
        <v>33</v>
      </c>
      <c r="AK35" s="11"/>
      <c r="AL35" s="11"/>
      <c r="AM35" s="11"/>
      <c r="AN35" s="11"/>
      <c r="AO35" s="11" t="s">
        <v>359</v>
      </c>
      <c r="AP35" s="11" t="s">
        <v>361</v>
      </c>
      <c r="AQ35" s="11" t="s">
        <v>364</v>
      </c>
      <c r="AR35" s="37" t="s">
        <v>209</v>
      </c>
      <c r="AS35" s="16" t="s">
        <v>338</v>
      </c>
      <c r="AT35" s="8"/>
      <c r="AU35" s="8"/>
      <c r="AW35" s="8"/>
      <c r="AX35" s="8"/>
      <c r="AY35" s="8"/>
      <c r="AZ35" s="8"/>
      <c r="BA35" s="9" t="s">
        <v>350</v>
      </c>
      <c r="BB35" s="9" t="s">
        <v>351</v>
      </c>
      <c r="BC35" s="8"/>
      <c r="BD35" s="8"/>
      <c r="BE35" s="8"/>
    </row>
    <row r="36">
      <c r="A36" s="10">
        <f t="shared" si="1"/>
        <v>35</v>
      </c>
      <c r="B36" s="11" t="s">
        <v>368</v>
      </c>
      <c r="C36" s="11" t="str">
        <f t="shared" si="2"/>
        <v>35_absolute_authority</v>
      </c>
      <c r="D36" s="12" t="s">
        <v>369</v>
      </c>
      <c r="E36" s="11" t="s">
        <v>370</v>
      </c>
      <c r="F36" s="44" t="s">
        <v>371</v>
      </c>
      <c r="G36" s="26" t="s">
        <v>372</v>
      </c>
      <c r="H36" s="14" t="s">
        <v>373</v>
      </c>
      <c r="I36" s="39" t="s">
        <v>228</v>
      </c>
      <c r="J36" s="16" t="s">
        <v>338</v>
      </c>
      <c r="K36" s="17" t="b">
        <v>1</v>
      </c>
      <c r="L36" s="18">
        <v>12.0</v>
      </c>
      <c r="M36" s="18">
        <v>5.0</v>
      </c>
      <c r="O36" s="10">
        <f t="shared" si="3"/>
        <v>35</v>
      </c>
      <c r="P36" s="11" t="s">
        <v>368</v>
      </c>
      <c r="Q36" s="11" t="str">
        <f t="shared" si="4"/>
        <v>35_absolute_authority</v>
      </c>
      <c r="R36" s="11" t="s">
        <v>374</v>
      </c>
      <c r="S36" s="39">
        <v>3.0</v>
      </c>
      <c r="T36" s="16" t="s">
        <v>338</v>
      </c>
      <c r="U36" s="17" t="b">
        <v>1</v>
      </c>
      <c r="V36" s="18">
        <v>12.0</v>
      </c>
      <c r="W36" s="18">
        <v>5.0</v>
      </c>
      <c r="X36" s="18">
        <v>5.0</v>
      </c>
      <c r="Y36" s="11" t="s">
        <v>375</v>
      </c>
      <c r="Z36" s="11" t="s">
        <v>376</v>
      </c>
      <c r="AC36" s="10">
        <v>9.0</v>
      </c>
      <c r="AD36" s="11" t="s">
        <v>61</v>
      </c>
      <c r="AE36" s="11" t="s">
        <v>36</v>
      </c>
      <c r="AF36" s="11" t="s">
        <v>37</v>
      </c>
      <c r="AG36" s="11">
        <v>5.0</v>
      </c>
      <c r="AH36" s="11"/>
      <c r="AJ36" s="10">
        <f t="shared" si="6"/>
        <v>34</v>
      </c>
      <c r="AK36" s="11"/>
      <c r="AL36" s="11"/>
      <c r="AM36" s="11"/>
      <c r="AN36" s="11"/>
      <c r="AO36" s="11" t="s">
        <v>368</v>
      </c>
      <c r="AP36" s="11" t="s">
        <v>377</v>
      </c>
      <c r="AQ36" s="11" t="s">
        <v>378</v>
      </c>
      <c r="AR36" s="39" t="s">
        <v>228</v>
      </c>
      <c r="AS36" s="16" t="s">
        <v>338</v>
      </c>
      <c r="AT36" s="8"/>
      <c r="AU36" s="8"/>
      <c r="AW36" s="8"/>
      <c r="AX36" s="8"/>
      <c r="AY36" s="8"/>
      <c r="AZ36" s="8"/>
      <c r="BA36" s="9" t="s">
        <v>359</v>
      </c>
      <c r="BB36" s="9" t="s">
        <v>360</v>
      </c>
      <c r="BC36" s="8"/>
      <c r="BD36" s="8"/>
      <c r="BE36" s="8"/>
    </row>
    <row r="37">
      <c r="A37" s="10">
        <f t="shared" si="1"/>
        <v>36</v>
      </c>
      <c r="B37" s="11" t="s">
        <v>150</v>
      </c>
      <c r="C37" s="11" t="str">
        <f t="shared" si="2"/>
        <v>36_strange_signal</v>
      </c>
      <c r="D37" s="12" t="s">
        <v>379</v>
      </c>
      <c r="E37" s="11" t="s">
        <v>380</v>
      </c>
      <c r="F37" s="13" t="s">
        <v>381</v>
      </c>
      <c r="G37" s="13" t="s">
        <v>382</v>
      </c>
      <c r="H37" s="14" t="s">
        <v>383</v>
      </c>
      <c r="I37" s="30" t="s">
        <v>89</v>
      </c>
      <c r="J37" s="16" t="s">
        <v>384</v>
      </c>
      <c r="K37" s="17" t="b">
        <v>1</v>
      </c>
      <c r="L37" s="18">
        <v>12.0</v>
      </c>
      <c r="M37" s="18">
        <v>5.0</v>
      </c>
      <c r="O37" s="10">
        <f t="shared" si="3"/>
        <v>36</v>
      </c>
      <c r="P37" s="11" t="s">
        <v>150</v>
      </c>
      <c r="Q37" s="11" t="str">
        <f t="shared" si="4"/>
        <v>36_strange_signal</v>
      </c>
      <c r="R37" s="11" t="s">
        <v>385</v>
      </c>
      <c r="S37" s="30">
        <v>1.0</v>
      </c>
      <c r="T37" s="16" t="s">
        <v>32</v>
      </c>
      <c r="U37" s="17" t="b">
        <v>1</v>
      </c>
      <c r="V37" s="18">
        <v>12.0</v>
      </c>
      <c r="W37" s="18">
        <v>5.0</v>
      </c>
      <c r="X37" s="18">
        <v>0.0</v>
      </c>
      <c r="Y37" s="11" t="s">
        <v>386</v>
      </c>
      <c r="Z37" s="11" t="s">
        <v>387</v>
      </c>
      <c r="AC37" s="10">
        <v>9.0</v>
      </c>
      <c r="AD37" s="11" t="s">
        <v>61</v>
      </c>
      <c r="AE37" s="11" t="s">
        <v>36</v>
      </c>
      <c r="AF37" s="11" t="s">
        <v>388</v>
      </c>
      <c r="AG37" s="11">
        <v>1.0</v>
      </c>
      <c r="AH37" s="11"/>
      <c r="AJ37" s="10">
        <f t="shared" ref="AJ37:AJ42" si="7">ROW() -3</f>
        <v>34</v>
      </c>
      <c r="AK37" s="11"/>
      <c r="AL37" s="11"/>
      <c r="AM37" s="11"/>
      <c r="AN37" s="11"/>
      <c r="AO37" s="11" t="s">
        <v>150</v>
      </c>
      <c r="AP37" s="11" t="s">
        <v>380</v>
      </c>
      <c r="AQ37" s="11" t="s">
        <v>383</v>
      </c>
      <c r="AR37" s="30" t="s">
        <v>89</v>
      </c>
      <c r="AS37" s="16" t="s">
        <v>384</v>
      </c>
      <c r="AT37" s="8"/>
      <c r="AU37" s="8"/>
      <c r="AV37" s="8"/>
      <c r="AW37" s="8"/>
      <c r="AX37" s="8"/>
      <c r="AY37" s="8"/>
      <c r="AZ37" s="8"/>
      <c r="BA37" s="9" t="s">
        <v>368</v>
      </c>
      <c r="BB37" s="9" t="s">
        <v>369</v>
      </c>
      <c r="BC37" s="8"/>
      <c r="BD37" s="8"/>
      <c r="BE37" s="8"/>
    </row>
    <row r="38">
      <c r="A38" s="10">
        <f t="shared" si="1"/>
        <v>37</v>
      </c>
      <c r="B38" s="11" t="s">
        <v>389</v>
      </c>
      <c r="C38" s="11" t="str">
        <f t="shared" si="2"/>
        <v>37_defense_upgrade</v>
      </c>
      <c r="D38" s="12" t="s">
        <v>390</v>
      </c>
      <c r="E38" s="11" t="s">
        <v>391</v>
      </c>
      <c r="F38" s="13" t="s">
        <v>392</v>
      </c>
      <c r="G38" s="13" t="s">
        <v>217</v>
      </c>
      <c r="H38" s="14" t="s">
        <v>393</v>
      </c>
      <c r="I38" s="30" t="s">
        <v>89</v>
      </c>
      <c r="J38" s="16" t="s">
        <v>384</v>
      </c>
      <c r="K38" s="17" t="b">
        <v>1</v>
      </c>
      <c r="L38" s="18">
        <v>12.0</v>
      </c>
      <c r="M38" s="18">
        <v>5.0</v>
      </c>
      <c r="O38" s="10">
        <f t="shared" si="3"/>
        <v>37</v>
      </c>
      <c r="P38" s="11" t="s">
        <v>389</v>
      </c>
      <c r="Q38" s="11" t="str">
        <f t="shared" si="4"/>
        <v>37_defense_upgrade</v>
      </c>
      <c r="R38" s="11" t="s">
        <v>394</v>
      </c>
      <c r="S38" s="30">
        <v>1.0</v>
      </c>
      <c r="T38" s="16" t="s">
        <v>32</v>
      </c>
      <c r="U38" s="17" t="b">
        <v>1</v>
      </c>
      <c r="V38" s="18">
        <v>12.0</v>
      </c>
      <c r="W38" s="18">
        <v>5.0</v>
      </c>
      <c r="X38" s="18">
        <v>0.0</v>
      </c>
      <c r="Y38" s="11" t="s">
        <v>395</v>
      </c>
      <c r="Z38" s="11" t="s">
        <v>396</v>
      </c>
      <c r="AC38" s="24">
        <v>10.0</v>
      </c>
      <c r="AD38" s="25" t="s">
        <v>35</v>
      </c>
      <c r="AE38" s="25" t="s">
        <v>36</v>
      </c>
      <c r="AF38" s="25" t="s">
        <v>162</v>
      </c>
      <c r="AG38" s="25">
        <v>5.0</v>
      </c>
      <c r="AH38" s="25"/>
      <c r="AJ38" s="10">
        <f t="shared" si="7"/>
        <v>35</v>
      </c>
      <c r="AK38" s="11"/>
      <c r="AL38" s="11"/>
      <c r="AM38" s="11"/>
      <c r="AN38" s="11"/>
      <c r="AO38" s="11" t="s">
        <v>389</v>
      </c>
      <c r="AP38" s="11" t="s">
        <v>391</v>
      </c>
      <c r="AQ38" s="11" t="s">
        <v>393</v>
      </c>
      <c r="AR38" s="30" t="s">
        <v>89</v>
      </c>
      <c r="AS38" s="16" t="s">
        <v>384</v>
      </c>
      <c r="AT38" s="8"/>
      <c r="AU38" s="8"/>
      <c r="AV38" s="8"/>
      <c r="AW38" s="8"/>
      <c r="AX38" s="8"/>
      <c r="AY38" s="8"/>
      <c r="AZ38" s="8"/>
      <c r="BA38" s="9"/>
      <c r="BB38" s="40"/>
      <c r="BC38" s="8"/>
      <c r="BD38" s="8"/>
      <c r="BE38" s="8"/>
    </row>
    <row r="39">
      <c r="A39" s="10">
        <f t="shared" si="1"/>
        <v>38</v>
      </c>
      <c r="B39" s="11" t="s">
        <v>397</v>
      </c>
      <c r="C39" s="11" t="str">
        <f t="shared" si="2"/>
        <v>38_orbital_debris</v>
      </c>
      <c r="D39" s="12" t="s">
        <v>398</v>
      </c>
      <c r="E39" s="11" t="s">
        <v>399</v>
      </c>
      <c r="F39" s="13" t="s">
        <v>400</v>
      </c>
      <c r="G39" s="13" t="s">
        <v>115</v>
      </c>
      <c r="H39" s="14" t="s">
        <v>401</v>
      </c>
      <c r="I39" s="30" t="s">
        <v>89</v>
      </c>
      <c r="J39" s="16" t="s">
        <v>384</v>
      </c>
      <c r="K39" s="17" t="b">
        <v>1</v>
      </c>
      <c r="L39" s="18">
        <v>12.0</v>
      </c>
      <c r="M39" s="18">
        <v>5.0</v>
      </c>
      <c r="O39" s="10">
        <f t="shared" si="3"/>
        <v>38</v>
      </c>
      <c r="P39" s="11" t="s">
        <v>397</v>
      </c>
      <c r="Q39" s="11" t="str">
        <f t="shared" si="4"/>
        <v>38_orbital_debris</v>
      </c>
      <c r="R39" s="11" t="s">
        <v>402</v>
      </c>
      <c r="S39" s="30">
        <v>1.0</v>
      </c>
      <c r="T39" s="16" t="s">
        <v>32</v>
      </c>
      <c r="U39" s="17" t="b">
        <v>1</v>
      </c>
      <c r="V39" s="18">
        <v>12.0</v>
      </c>
      <c r="W39" s="18">
        <v>5.0</v>
      </c>
      <c r="X39" s="18">
        <v>0.0</v>
      </c>
      <c r="Y39" s="11" t="s">
        <v>403</v>
      </c>
      <c r="Z39" s="11" t="s">
        <v>404</v>
      </c>
      <c r="AC39" s="10">
        <v>10.0</v>
      </c>
      <c r="AD39" s="11" t="s">
        <v>35</v>
      </c>
      <c r="AE39" s="11" t="s">
        <v>36</v>
      </c>
      <c r="AF39" s="11" t="s">
        <v>37</v>
      </c>
      <c r="AG39" s="11">
        <v>-5.0</v>
      </c>
      <c r="AH39" s="11"/>
      <c r="AJ39" s="10">
        <f t="shared" si="7"/>
        <v>36</v>
      </c>
      <c r="AK39" s="11"/>
      <c r="AL39" s="11"/>
      <c r="AM39" s="11"/>
      <c r="AN39" s="11"/>
      <c r="AO39" s="11" t="s">
        <v>397</v>
      </c>
      <c r="AP39" s="11" t="s">
        <v>399</v>
      </c>
      <c r="AQ39" s="11" t="s">
        <v>401</v>
      </c>
      <c r="AR39" s="30" t="s">
        <v>89</v>
      </c>
      <c r="AS39" s="16" t="s">
        <v>384</v>
      </c>
      <c r="AT39" s="8"/>
      <c r="AU39" s="8"/>
      <c r="AV39" s="8"/>
      <c r="AW39" s="8"/>
      <c r="AX39" s="8"/>
      <c r="AY39" s="8"/>
      <c r="AZ39" s="8"/>
      <c r="BA39" s="41"/>
      <c r="BB39" s="41"/>
      <c r="BC39" s="8"/>
      <c r="BD39" s="8"/>
      <c r="BE39" s="8"/>
    </row>
    <row r="40">
      <c r="A40" s="10">
        <f t="shared" si="1"/>
        <v>39</v>
      </c>
      <c r="B40" s="11" t="s">
        <v>405</v>
      </c>
      <c r="C40" s="11" t="str">
        <f t="shared" si="2"/>
        <v>39_energy_weapon_test</v>
      </c>
      <c r="D40" s="12" t="s">
        <v>406</v>
      </c>
      <c r="E40" s="11" t="s">
        <v>407</v>
      </c>
      <c r="F40" s="13" t="s">
        <v>408</v>
      </c>
      <c r="G40" s="13" t="s">
        <v>97</v>
      </c>
      <c r="H40" s="14" t="s">
        <v>409</v>
      </c>
      <c r="I40" s="30" t="s">
        <v>89</v>
      </c>
      <c r="J40" s="16" t="s">
        <v>384</v>
      </c>
      <c r="K40" s="17" t="b">
        <v>1</v>
      </c>
      <c r="L40" s="18">
        <v>12.0</v>
      </c>
      <c r="M40" s="18">
        <v>5.0</v>
      </c>
      <c r="O40" s="10">
        <f t="shared" si="3"/>
        <v>39</v>
      </c>
      <c r="P40" s="11" t="s">
        <v>405</v>
      </c>
      <c r="Q40" s="11" t="str">
        <f t="shared" si="4"/>
        <v>39_energy_weapon_test</v>
      </c>
      <c r="R40" s="11" t="s">
        <v>410</v>
      </c>
      <c r="S40" s="30">
        <v>1.0</v>
      </c>
      <c r="T40" s="16" t="s">
        <v>32</v>
      </c>
      <c r="U40" s="17" t="b">
        <v>1</v>
      </c>
      <c r="V40" s="18">
        <v>12.0</v>
      </c>
      <c r="W40" s="18">
        <v>5.0</v>
      </c>
      <c r="X40" s="18">
        <v>0.0</v>
      </c>
      <c r="Y40" s="11" t="s">
        <v>411</v>
      </c>
      <c r="Z40" s="11" t="s">
        <v>412</v>
      </c>
      <c r="AC40" s="10">
        <v>10.0</v>
      </c>
      <c r="AD40" s="11" t="s">
        <v>61</v>
      </c>
      <c r="AE40" s="11" t="s">
        <v>36</v>
      </c>
      <c r="AF40" s="11" t="s">
        <v>37</v>
      </c>
      <c r="AG40" s="11">
        <v>20.0</v>
      </c>
      <c r="AH40" s="11"/>
      <c r="AJ40" s="10">
        <f t="shared" si="7"/>
        <v>37</v>
      </c>
      <c r="AK40" s="11"/>
      <c r="AL40" s="11"/>
      <c r="AM40" s="11"/>
      <c r="AN40" s="11"/>
      <c r="AO40" s="11" t="s">
        <v>405</v>
      </c>
      <c r="AP40" s="11" t="s">
        <v>407</v>
      </c>
      <c r="AQ40" s="11" t="s">
        <v>409</v>
      </c>
      <c r="AR40" s="30" t="s">
        <v>89</v>
      </c>
      <c r="AS40" s="16" t="s">
        <v>384</v>
      </c>
      <c r="AT40" s="8"/>
      <c r="AU40" s="8"/>
      <c r="AV40" s="8"/>
      <c r="AW40" s="8"/>
      <c r="AX40" s="8"/>
      <c r="AY40" s="8"/>
      <c r="AZ40" s="8"/>
      <c r="BA40" s="9" t="s">
        <v>150</v>
      </c>
      <c r="BB40" s="9" t="s">
        <v>379</v>
      </c>
      <c r="BC40" s="8"/>
      <c r="BD40" s="8"/>
      <c r="BE40" s="8"/>
    </row>
    <row r="41">
      <c r="A41" s="10">
        <f t="shared" si="1"/>
        <v>40</v>
      </c>
      <c r="B41" s="11" t="s">
        <v>413</v>
      </c>
      <c r="C41" s="11" t="str">
        <f t="shared" si="2"/>
        <v>40_prison_overcrowding</v>
      </c>
      <c r="D41" s="12" t="s">
        <v>414</v>
      </c>
      <c r="E41" s="11" t="s">
        <v>415</v>
      </c>
      <c r="F41" s="26" t="s">
        <v>416</v>
      </c>
      <c r="G41" s="26" t="s">
        <v>417</v>
      </c>
      <c r="H41" s="14" t="s">
        <v>418</v>
      </c>
      <c r="I41" s="30" t="s">
        <v>89</v>
      </c>
      <c r="J41" s="16" t="s">
        <v>384</v>
      </c>
      <c r="K41" s="17" t="b">
        <v>1</v>
      </c>
      <c r="L41" s="18">
        <v>12.0</v>
      </c>
      <c r="M41" s="18">
        <v>5.0</v>
      </c>
      <c r="O41" s="10">
        <f t="shared" si="3"/>
        <v>40</v>
      </c>
      <c r="P41" s="11" t="s">
        <v>413</v>
      </c>
      <c r="Q41" s="11" t="str">
        <f t="shared" si="4"/>
        <v>40_prison_overcrowding</v>
      </c>
      <c r="R41" s="11" t="s">
        <v>419</v>
      </c>
      <c r="S41" s="30">
        <v>1.0</v>
      </c>
      <c r="T41" s="16" t="s">
        <v>32</v>
      </c>
      <c r="U41" s="17" t="b">
        <v>1</v>
      </c>
      <c r="V41" s="18">
        <v>12.0</v>
      </c>
      <c r="W41" s="18">
        <v>5.0</v>
      </c>
      <c r="X41" s="18">
        <v>0.0</v>
      </c>
      <c r="Y41" s="11" t="s">
        <v>420</v>
      </c>
      <c r="Z41" s="11" t="s">
        <v>421</v>
      </c>
      <c r="AC41" s="10">
        <v>10.0</v>
      </c>
      <c r="AD41" s="11" t="s">
        <v>61</v>
      </c>
      <c r="AE41" s="11" t="s">
        <v>36</v>
      </c>
      <c r="AF41" s="11" t="s">
        <v>50</v>
      </c>
      <c r="AG41" s="11">
        <v>-10.0</v>
      </c>
      <c r="AH41" s="11"/>
      <c r="AJ41" s="10">
        <f t="shared" si="7"/>
        <v>38</v>
      </c>
      <c r="AK41" s="11"/>
      <c r="AL41" s="11"/>
      <c r="AM41" s="11"/>
      <c r="AN41" s="11"/>
      <c r="AO41" s="11" t="s">
        <v>413</v>
      </c>
      <c r="AP41" s="11" t="s">
        <v>415</v>
      </c>
      <c r="AQ41" s="11" t="s">
        <v>418</v>
      </c>
      <c r="AR41" s="30" t="s">
        <v>89</v>
      </c>
      <c r="AS41" s="16" t="s">
        <v>384</v>
      </c>
      <c r="AT41" s="8"/>
      <c r="AU41" s="8"/>
      <c r="AV41" s="8"/>
      <c r="AW41" s="8"/>
      <c r="AX41" s="8"/>
      <c r="AY41" s="8"/>
      <c r="AZ41" s="8"/>
      <c r="BA41" s="9" t="s">
        <v>389</v>
      </c>
      <c r="BB41" s="9" t="s">
        <v>390</v>
      </c>
      <c r="BC41" s="8"/>
      <c r="BD41" s="8"/>
      <c r="BE41" s="8"/>
    </row>
    <row r="42">
      <c r="A42" s="10">
        <f t="shared" si="1"/>
        <v>41</v>
      </c>
      <c r="B42" s="11" t="s">
        <v>422</v>
      </c>
      <c r="C42" s="11" t="str">
        <f t="shared" si="2"/>
        <v>41_military_training</v>
      </c>
      <c r="D42" s="12" t="s">
        <v>423</v>
      </c>
      <c r="E42" s="11" t="s">
        <v>424</v>
      </c>
      <c r="F42" s="13" t="s">
        <v>425</v>
      </c>
      <c r="G42" s="13" t="s">
        <v>426</v>
      </c>
      <c r="H42" s="14" t="s">
        <v>427</v>
      </c>
      <c r="I42" s="30" t="s">
        <v>29</v>
      </c>
      <c r="J42" s="16" t="s">
        <v>384</v>
      </c>
      <c r="K42" s="17" t="b">
        <v>1</v>
      </c>
      <c r="L42" s="18">
        <v>12.0</v>
      </c>
      <c r="M42" s="18">
        <v>5.0</v>
      </c>
      <c r="O42" s="10">
        <f t="shared" si="3"/>
        <v>41</v>
      </c>
      <c r="P42" s="11" t="s">
        <v>422</v>
      </c>
      <c r="Q42" s="11" t="str">
        <f t="shared" si="4"/>
        <v>41_military_training</v>
      </c>
      <c r="R42" s="11" t="s">
        <v>428</v>
      </c>
      <c r="S42" s="15">
        <v>0.0</v>
      </c>
      <c r="T42" s="16" t="s">
        <v>32</v>
      </c>
      <c r="U42" s="17" t="b">
        <v>1</v>
      </c>
      <c r="V42" s="18">
        <v>12.0</v>
      </c>
      <c r="W42" s="18">
        <v>5.0</v>
      </c>
      <c r="X42" s="18">
        <v>0.0</v>
      </c>
      <c r="Y42" s="11" t="s">
        <v>429</v>
      </c>
      <c r="Z42" s="11" t="s">
        <v>430</v>
      </c>
      <c r="AC42" s="10">
        <v>11.0</v>
      </c>
      <c r="AD42" s="11" t="s">
        <v>35</v>
      </c>
      <c r="AE42" s="11" t="s">
        <v>36</v>
      </c>
      <c r="AF42" s="45" t="s">
        <v>37</v>
      </c>
      <c r="AG42" s="11">
        <v>-5.0</v>
      </c>
      <c r="AH42" s="11"/>
      <c r="AJ42" s="10">
        <f t="shared" si="7"/>
        <v>39</v>
      </c>
      <c r="AK42" s="11"/>
      <c r="AL42" s="11"/>
      <c r="AM42" s="11"/>
      <c r="AN42" s="11"/>
      <c r="AO42" s="11" t="s">
        <v>422</v>
      </c>
      <c r="AP42" s="11" t="s">
        <v>424</v>
      </c>
      <c r="AQ42" s="11" t="s">
        <v>427</v>
      </c>
      <c r="AR42" s="30" t="s">
        <v>29</v>
      </c>
      <c r="AS42" s="16" t="s">
        <v>384</v>
      </c>
      <c r="AT42" s="8"/>
      <c r="AU42" s="8"/>
      <c r="AV42" s="8"/>
      <c r="AW42" s="8"/>
      <c r="AX42" s="8"/>
      <c r="AY42" s="8"/>
      <c r="AZ42" s="8"/>
      <c r="BA42" s="9" t="s">
        <v>397</v>
      </c>
      <c r="BB42" s="9" t="s">
        <v>398</v>
      </c>
      <c r="BC42" s="8"/>
      <c r="BD42" s="8"/>
      <c r="BE42" s="8"/>
    </row>
    <row r="43">
      <c r="A43" s="10">
        <f t="shared" si="1"/>
        <v>42</v>
      </c>
      <c r="B43" s="11" t="s">
        <v>431</v>
      </c>
      <c r="C43" s="11" t="str">
        <f t="shared" si="2"/>
        <v>42_scientific_breakthrough</v>
      </c>
      <c r="D43" s="12" t="s">
        <v>432</v>
      </c>
      <c r="E43" s="11" t="s">
        <v>433</v>
      </c>
      <c r="F43" s="13" t="s">
        <v>434</v>
      </c>
      <c r="G43" s="13" t="s">
        <v>354</v>
      </c>
      <c r="H43" s="14" t="s">
        <v>435</v>
      </c>
      <c r="I43" s="30" t="s">
        <v>89</v>
      </c>
      <c r="J43" s="16" t="s">
        <v>436</v>
      </c>
      <c r="K43" s="17" t="b">
        <v>1</v>
      </c>
      <c r="L43" s="18">
        <v>12.0</v>
      </c>
      <c r="M43" s="18">
        <v>5.0</v>
      </c>
      <c r="O43" s="10">
        <f t="shared" si="3"/>
        <v>42</v>
      </c>
      <c r="P43" s="11" t="s">
        <v>431</v>
      </c>
      <c r="Q43" s="11" t="str">
        <f t="shared" si="4"/>
        <v>42_scientific_breakthrough</v>
      </c>
      <c r="R43" s="11" t="s">
        <v>437</v>
      </c>
      <c r="S43" s="30">
        <v>0.0</v>
      </c>
      <c r="T43" s="16" t="s">
        <v>32</v>
      </c>
      <c r="U43" s="17" t="b">
        <v>1</v>
      </c>
      <c r="V43" s="18">
        <v>12.0</v>
      </c>
      <c r="W43" s="18">
        <v>5.0</v>
      </c>
      <c r="X43" s="18">
        <v>0.0</v>
      </c>
      <c r="Y43" s="11" t="s">
        <v>438</v>
      </c>
      <c r="Z43" s="11" t="s">
        <v>439</v>
      </c>
      <c r="AC43" s="10">
        <v>11.0</v>
      </c>
      <c r="AD43" s="11" t="s">
        <v>35</v>
      </c>
      <c r="AE43" s="11" t="s">
        <v>36</v>
      </c>
      <c r="AF43" s="45" t="s">
        <v>72</v>
      </c>
      <c r="AG43" s="11">
        <v>2.0</v>
      </c>
      <c r="AH43" s="11"/>
      <c r="AJ43" s="10"/>
      <c r="AK43" s="11"/>
      <c r="AL43" s="11"/>
      <c r="AM43" s="11"/>
      <c r="AN43" s="11"/>
      <c r="AO43" s="11"/>
      <c r="AP43" s="11"/>
      <c r="AQ43" s="11"/>
      <c r="AR43" s="30"/>
      <c r="AS43" s="16"/>
      <c r="AT43" s="8"/>
      <c r="AU43" s="8"/>
      <c r="AV43" s="8"/>
      <c r="AW43" s="8"/>
      <c r="AX43" s="8"/>
      <c r="AY43" s="8"/>
      <c r="AZ43" s="8"/>
      <c r="BA43" s="9" t="s">
        <v>405</v>
      </c>
      <c r="BB43" s="9" t="s">
        <v>406</v>
      </c>
      <c r="BC43" s="8"/>
      <c r="BD43" s="8"/>
      <c r="BE43" s="8"/>
    </row>
    <row r="44">
      <c r="A44" s="10">
        <f t="shared" si="1"/>
        <v>43</v>
      </c>
      <c r="B44" s="11" t="s">
        <v>440</v>
      </c>
      <c r="C44" s="11" t="str">
        <f t="shared" si="2"/>
        <v>43_advanced_robotics</v>
      </c>
      <c r="D44" s="12" t="s">
        <v>441</v>
      </c>
      <c r="E44" s="11" t="s">
        <v>442</v>
      </c>
      <c r="F44" s="13" t="s">
        <v>123</v>
      </c>
      <c r="G44" s="13" t="s">
        <v>443</v>
      </c>
      <c r="H44" s="14" t="s">
        <v>444</v>
      </c>
      <c r="I44" s="30" t="s">
        <v>89</v>
      </c>
      <c r="J44" s="16" t="s">
        <v>436</v>
      </c>
      <c r="K44" s="17" t="b">
        <v>1</v>
      </c>
      <c r="L44" s="18">
        <v>12.0</v>
      </c>
      <c r="M44" s="18">
        <v>5.0</v>
      </c>
      <c r="O44" s="10">
        <f t="shared" si="3"/>
        <v>43</v>
      </c>
      <c r="P44" s="11" t="s">
        <v>440</v>
      </c>
      <c r="Q44" s="11" t="str">
        <f t="shared" si="4"/>
        <v>43_advanced_robotics</v>
      </c>
      <c r="R44" s="11" t="s">
        <v>445</v>
      </c>
      <c r="S44" s="30">
        <v>1.0</v>
      </c>
      <c r="T44" s="16" t="s">
        <v>32</v>
      </c>
      <c r="U44" s="17" t="b">
        <v>1</v>
      </c>
      <c r="V44" s="18">
        <v>12.0</v>
      </c>
      <c r="W44" s="18">
        <v>5.0</v>
      </c>
      <c r="X44" s="18">
        <v>0.0</v>
      </c>
      <c r="Y44" s="11" t="s">
        <v>446</v>
      </c>
      <c r="Z44" s="11" t="s">
        <v>447</v>
      </c>
      <c r="AC44" s="10">
        <v>11.0</v>
      </c>
      <c r="AD44" s="11" t="s">
        <v>61</v>
      </c>
      <c r="AE44" s="11" t="s">
        <v>36</v>
      </c>
      <c r="AF44" s="11" t="s">
        <v>37</v>
      </c>
      <c r="AG44" s="11">
        <v>5.0</v>
      </c>
      <c r="AH44" s="11"/>
      <c r="AJ44" s="10">
        <f t="shared" ref="AJ44:AJ64" si="8">ROW() -4</f>
        <v>40</v>
      </c>
      <c r="AK44" s="11"/>
      <c r="AL44" s="11"/>
      <c r="AM44" s="11"/>
      <c r="AN44" s="11"/>
      <c r="AO44" s="11" t="s">
        <v>431</v>
      </c>
      <c r="AP44" s="11" t="s">
        <v>433</v>
      </c>
      <c r="AQ44" s="11" t="s">
        <v>435</v>
      </c>
      <c r="AR44" s="30" t="s">
        <v>89</v>
      </c>
      <c r="AS44" s="16" t="s">
        <v>436</v>
      </c>
      <c r="AT44" s="8"/>
      <c r="AU44" s="8"/>
      <c r="AV44" s="8"/>
      <c r="AW44" s="8"/>
      <c r="AX44" s="8"/>
      <c r="AY44" s="8"/>
      <c r="AZ44" s="8"/>
      <c r="BA44" s="9" t="s">
        <v>413</v>
      </c>
      <c r="BB44" s="9" t="s">
        <v>414</v>
      </c>
      <c r="BC44" s="8"/>
      <c r="BD44" s="8"/>
      <c r="BE44" s="8"/>
    </row>
    <row r="45">
      <c r="A45" s="10">
        <f t="shared" si="1"/>
        <v>44</v>
      </c>
      <c r="B45" s="11" t="s">
        <v>448</v>
      </c>
      <c r="C45" s="11" t="str">
        <f t="shared" si="2"/>
        <v>44_medical_innovation</v>
      </c>
      <c r="D45" s="12" t="s">
        <v>449</v>
      </c>
      <c r="E45" s="11" t="s">
        <v>450</v>
      </c>
      <c r="F45" s="13" t="s">
        <v>451</v>
      </c>
      <c r="G45" s="13" t="s">
        <v>132</v>
      </c>
      <c r="H45" s="14" t="s">
        <v>452</v>
      </c>
      <c r="I45" s="30" t="s">
        <v>89</v>
      </c>
      <c r="J45" s="16" t="s">
        <v>436</v>
      </c>
      <c r="K45" s="17" t="b">
        <v>1</v>
      </c>
      <c r="L45" s="18">
        <v>12.0</v>
      </c>
      <c r="M45" s="18">
        <v>5.0</v>
      </c>
      <c r="O45" s="10">
        <f t="shared" si="3"/>
        <v>44</v>
      </c>
      <c r="P45" s="11" t="s">
        <v>448</v>
      </c>
      <c r="Q45" s="11" t="str">
        <f t="shared" si="4"/>
        <v>44_medical_innovation</v>
      </c>
      <c r="R45" s="11" t="s">
        <v>453</v>
      </c>
      <c r="S45" s="30">
        <v>1.0</v>
      </c>
      <c r="T45" s="16" t="s">
        <v>32</v>
      </c>
      <c r="U45" s="17" t="b">
        <v>1</v>
      </c>
      <c r="V45" s="18">
        <v>12.0</v>
      </c>
      <c r="W45" s="18">
        <v>5.0</v>
      </c>
      <c r="X45" s="18">
        <v>0.0</v>
      </c>
      <c r="Y45" s="11" t="s">
        <v>454</v>
      </c>
      <c r="Z45" s="11" t="s">
        <v>455</v>
      </c>
      <c r="AC45" s="10">
        <v>12.0</v>
      </c>
      <c r="AD45" s="11" t="s">
        <v>35</v>
      </c>
      <c r="AE45" s="11" t="s">
        <v>36</v>
      </c>
      <c r="AF45" s="11" t="s">
        <v>162</v>
      </c>
      <c r="AG45" s="11">
        <v>10.0</v>
      </c>
      <c r="AH45" s="11"/>
      <c r="AJ45" s="10">
        <f t="shared" si="8"/>
        <v>41</v>
      </c>
      <c r="AK45" s="11"/>
      <c r="AL45" s="11"/>
      <c r="AM45" s="11"/>
      <c r="AN45" s="11"/>
      <c r="AO45" s="11" t="s">
        <v>440</v>
      </c>
      <c r="AP45" s="11" t="s">
        <v>442</v>
      </c>
      <c r="AQ45" s="11" t="s">
        <v>444</v>
      </c>
      <c r="AR45" s="30" t="s">
        <v>89</v>
      </c>
      <c r="AS45" s="16" t="s">
        <v>436</v>
      </c>
      <c r="AT45" s="8"/>
      <c r="AU45" s="8"/>
      <c r="AV45" s="8"/>
      <c r="AW45" s="8"/>
      <c r="AX45" s="8"/>
      <c r="AY45" s="8"/>
      <c r="AZ45" s="8"/>
      <c r="BA45" s="9" t="s">
        <v>422</v>
      </c>
      <c r="BB45" s="9" t="s">
        <v>423</v>
      </c>
      <c r="BC45" s="8"/>
      <c r="BD45" s="8"/>
      <c r="BE45" s="8"/>
    </row>
    <row r="46">
      <c r="A46" s="10">
        <f t="shared" si="1"/>
        <v>45</v>
      </c>
      <c r="B46" s="11" t="s">
        <v>456</v>
      </c>
      <c r="C46" s="11" t="str">
        <f t="shared" si="2"/>
        <v>45_alien_microbes</v>
      </c>
      <c r="D46" s="12" t="s">
        <v>457</v>
      </c>
      <c r="E46" s="11" t="s">
        <v>458</v>
      </c>
      <c r="F46" s="26" t="s">
        <v>156</v>
      </c>
      <c r="G46" s="26" t="s">
        <v>171</v>
      </c>
      <c r="H46" s="14" t="s">
        <v>459</v>
      </c>
      <c r="I46" s="30" t="s">
        <v>89</v>
      </c>
      <c r="J46" s="16" t="s">
        <v>436</v>
      </c>
      <c r="K46" s="17" t="b">
        <v>1</v>
      </c>
      <c r="L46" s="18">
        <v>12.0</v>
      </c>
      <c r="M46" s="18">
        <v>5.0</v>
      </c>
      <c r="O46" s="10">
        <f t="shared" si="3"/>
        <v>45</v>
      </c>
      <c r="P46" s="11" t="s">
        <v>456</v>
      </c>
      <c r="Q46" s="11" t="str">
        <f t="shared" si="4"/>
        <v>45_alien_microbes</v>
      </c>
      <c r="R46" s="11" t="s">
        <v>460</v>
      </c>
      <c r="S46" s="30">
        <v>1.0</v>
      </c>
      <c r="T46" s="16" t="s">
        <v>32</v>
      </c>
      <c r="U46" s="17" t="b">
        <v>1</v>
      </c>
      <c r="V46" s="18">
        <v>12.0</v>
      </c>
      <c r="W46" s="18">
        <v>5.0</v>
      </c>
      <c r="X46" s="18">
        <v>0.0</v>
      </c>
      <c r="Y46" s="11" t="s">
        <v>461</v>
      </c>
      <c r="Z46" s="11" t="s">
        <v>462</v>
      </c>
      <c r="AC46" s="10">
        <v>12.0</v>
      </c>
      <c r="AD46" s="11" t="s">
        <v>35</v>
      </c>
      <c r="AE46" s="11" t="s">
        <v>36</v>
      </c>
      <c r="AF46" s="11" t="s">
        <v>37</v>
      </c>
      <c r="AG46" s="11">
        <v>-5.0</v>
      </c>
      <c r="AH46" s="11"/>
      <c r="AJ46" s="10">
        <f t="shared" si="8"/>
        <v>42</v>
      </c>
      <c r="AK46" s="11"/>
      <c r="AL46" s="11"/>
      <c r="AM46" s="11"/>
      <c r="AN46" s="11"/>
      <c r="AO46" s="11" t="s">
        <v>448</v>
      </c>
      <c r="AP46" s="11" t="s">
        <v>450</v>
      </c>
      <c r="AQ46" s="11" t="s">
        <v>452</v>
      </c>
      <c r="AR46" s="30" t="s">
        <v>89</v>
      </c>
      <c r="AS46" s="16" t="s">
        <v>436</v>
      </c>
      <c r="AT46" s="8"/>
      <c r="AU46" s="8"/>
      <c r="AV46" s="8"/>
      <c r="AW46" s="8"/>
      <c r="AX46" s="8"/>
      <c r="AY46" s="8"/>
      <c r="AZ46" s="8"/>
      <c r="BA46" s="9" t="s">
        <v>431</v>
      </c>
      <c r="BB46" s="9" t="s">
        <v>432</v>
      </c>
      <c r="BC46" s="8"/>
      <c r="BD46" s="8"/>
      <c r="BE46" s="8"/>
    </row>
    <row r="47">
      <c r="A47" s="10">
        <f t="shared" si="1"/>
        <v>46</v>
      </c>
      <c r="B47" s="11" t="s">
        <v>463</v>
      </c>
      <c r="C47" s="11" t="str">
        <f t="shared" si="2"/>
        <v>46_deep_space_probe</v>
      </c>
      <c r="D47" s="12" t="s">
        <v>464</v>
      </c>
      <c r="E47" s="11" t="s">
        <v>465</v>
      </c>
      <c r="F47" s="13" t="s">
        <v>56</v>
      </c>
      <c r="G47" s="13" t="s">
        <v>466</v>
      </c>
      <c r="H47" s="14" t="s">
        <v>467</v>
      </c>
      <c r="I47" s="30" t="s">
        <v>89</v>
      </c>
      <c r="J47" s="16" t="s">
        <v>436</v>
      </c>
      <c r="K47" s="17" t="b">
        <v>1</v>
      </c>
      <c r="L47" s="18">
        <v>12.0</v>
      </c>
      <c r="M47" s="18">
        <v>5.0</v>
      </c>
      <c r="O47" s="10">
        <f t="shared" si="3"/>
        <v>46</v>
      </c>
      <c r="P47" s="11" t="s">
        <v>463</v>
      </c>
      <c r="Q47" s="11" t="str">
        <f t="shared" si="4"/>
        <v>46_deep_space_probe</v>
      </c>
      <c r="R47" s="11" t="s">
        <v>468</v>
      </c>
      <c r="S47" s="30">
        <v>1.0</v>
      </c>
      <c r="T47" s="16" t="s">
        <v>32</v>
      </c>
      <c r="U47" s="17" t="b">
        <v>1</v>
      </c>
      <c r="V47" s="18">
        <v>12.0</v>
      </c>
      <c r="W47" s="18">
        <v>5.0</v>
      </c>
      <c r="X47" s="18">
        <v>0.0</v>
      </c>
      <c r="Y47" s="11" t="s">
        <v>469</v>
      </c>
      <c r="Z47" s="11" t="s">
        <v>470</v>
      </c>
      <c r="AC47" s="10">
        <v>12.0</v>
      </c>
      <c r="AD47" s="11" t="s">
        <v>61</v>
      </c>
      <c r="AE47" s="11" t="s">
        <v>36</v>
      </c>
      <c r="AF47" s="11" t="s">
        <v>37</v>
      </c>
      <c r="AG47" s="11">
        <f>5</f>
        <v>5</v>
      </c>
      <c r="AH47" s="11"/>
      <c r="AJ47" s="10">
        <f t="shared" si="8"/>
        <v>43</v>
      </c>
      <c r="AK47" s="11"/>
      <c r="AL47" s="11"/>
      <c r="AM47" s="11"/>
      <c r="AN47" s="11"/>
      <c r="AO47" s="11" t="s">
        <v>456</v>
      </c>
      <c r="AP47" s="11" t="s">
        <v>458</v>
      </c>
      <c r="AQ47" s="11" t="s">
        <v>459</v>
      </c>
      <c r="AR47" s="30" t="s">
        <v>89</v>
      </c>
      <c r="AS47" s="16" t="s">
        <v>436</v>
      </c>
      <c r="AT47" s="8"/>
      <c r="AU47" s="8"/>
      <c r="AV47" s="8"/>
      <c r="AW47" s="8"/>
      <c r="AX47" s="8"/>
      <c r="AY47" s="8"/>
      <c r="AZ47" s="8"/>
      <c r="BA47" s="9" t="s">
        <v>440</v>
      </c>
      <c r="BB47" s="9" t="s">
        <v>441</v>
      </c>
      <c r="BC47" s="8"/>
      <c r="BD47" s="8"/>
      <c r="BE47" s="8"/>
    </row>
    <row r="48">
      <c r="A48" s="10">
        <f t="shared" si="1"/>
        <v>47</v>
      </c>
      <c r="B48" s="11" t="s">
        <v>471</v>
      </c>
      <c r="C48" s="11" t="str">
        <f t="shared" si="2"/>
        <v>47_jump_gate</v>
      </c>
      <c r="D48" s="12" t="s">
        <v>472</v>
      </c>
      <c r="E48" s="11" t="s">
        <v>473</v>
      </c>
      <c r="F48" s="13" t="s">
        <v>474</v>
      </c>
      <c r="G48" s="13" t="s">
        <v>475</v>
      </c>
      <c r="H48" s="14" t="s">
        <v>476</v>
      </c>
      <c r="I48" s="37" t="s">
        <v>209</v>
      </c>
      <c r="J48" s="16" t="s">
        <v>436</v>
      </c>
      <c r="K48" s="17" t="b">
        <v>1</v>
      </c>
      <c r="L48" s="18">
        <v>12.0</v>
      </c>
      <c r="M48" s="18">
        <v>5.0</v>
      </c>
      <c r="O48" s="10">
        <f t="shared" si="3"/>
        <v>47</v>
      </c>
      <c r="P48" s="11" t="s">
        <v>471</v>
      </c>
      <c r="Q48" s="11" t="str">
        <f t="shared" si="4"/>
        <v>47_jump_gate</v>
      </c>
      <c r="R48" s="11" t="s">
        <v>477</v>
      </c>
      <c r="S48" s="37">
        <v>2.0</v>
      </c>
      <c r="T48" s="16" t="s">
        <v>32</v>
      </c>
      <c r="U48" s="17" t="b">
        <v>1</v>
      </c>
      <c r="V48" s="18">
        <v>12.0</v>
      </c>
      <c r="W48" s="18">
        <v>5.0</v>
      </c>
      <c r="X48" s="18">
        <v>0.0</v>
      </c>
      <c r="Y48" s="11" t="s">
        <v>478</v>
      </c>
      <c r="Z48" s="11" t="s">
        <v>479</v>
      </c>
      <c r="AC48" s="10">
        <v>12.0</v>
      </c>
      <c r="AD48" s="11" t="s">
        <v>61</v>
      </c>
      <c r="AE48" s="11" t="s">
        <v>36</v>
      </c>
      <c r="AF48" s="11" t="s">
        <v>388</v>
      </c>
      <c r="AG48" s="11">
        <f>1</f>
        <v>1</v>
      </c>
      <c r="AH48" s="11"/>
      <c r="AJ48" s="10">
        <f t="shared" si="8"/>
        <v>44</v>
      </c>
      <c r="AK48" s="11"/>
      <c r="AL48" s="11"/>
      <c r="AM48" s="11"/>
      <c r="AN48" s="11"/>
      <c r="AO48" s="11" t="s">
        <v>463</v>
      </c>
      <c r="AP48" s="11" t="s">
        <v>465</v>
      </c>
      <c r="AQ48" s="11" t="s">
        <v>467</v>
      </c>
      <c r="AR48" s="30" t="s">
        <v>89</v>
      </c>
      <c r="AS48" s="16" t="s">
        <v>436</v>
      </c>
      <c r="AT48" s="8"/>
      <c r="AU48" s="8"/>
      <c r="AV48" s="8"/>
      <c r="AW48" s="8"/>
      <c r="AX48" s="8"/>
      <c r="AY48" s="8"/>
      <c r="AZ48" s="8"/>
      <c r="BA48" s="9" t="s">
        <v>448</v>
      </c>
      <c r="BB48" s="9" t="s">
        <v>449</v>
      </c>
      <c r="BC48" s="8"/>
      <c r="BD48" s="8"/>
      <c r="BE48" s="8"/>
    </row>
    <row r="49">
      <c r="A49" s="10">
        <f t="shared" si="1"/>
        <v>48</v>
      </c>
      <c r="B49" s="11" t="s">
        <v>480</v>
      </c>
      <c r="C49" s="11" t="str">
        <f t="shared" si="2"/>
        <v>48_colony_shipyard</v>
      </c>
      <c r="D49" s="12" t="s">
        <v>481</v>
      </c>
      <c r="E49" s="11" t="s">
        <v>482</v>
      </c>
      <c r="F49" s="13" t="s">
        <v>483</v>
      </c>
      <c r="G49" s="13" t="s">
        <v>484</v>
      </c>
      <c r="H49" s="14" t="s">
        <v>485</v>
      </c>
      <c r="I49" s="37" t="s">
        <v>209</v>
      </c>
      <c r="J49" s="16" t="s">
        <v>436</v>
      </c>
      <c r="K49" s="17" t="b">
        <v>1</v>
      </c>
      <c r="L49" s="18">
        <v>12.0</v>
      </c>
      <c r="M49" s="18">
        <v>5.0</v>
      </c>
      <c r="O49" s="10">
        <f t="shared" si="3"/>
        <v>48</v>
      </c>
      <c r="P49" s="11" t="s">
        <v>486</v>
      </c>
      <c r="Q49" s="11" t="str">
        <f t="shared" si="4"/>
        <v>48_colony_ship_construction</v>
      </c>
      <c r="R49" s="11" t="s">
        <v>487</v>
      </c>
      <c r="S49" s="37">
        <v>2.0</v>
      </c>
      <c r="T49" s="16" t="s">
        <v>32</v>
      </c>
      <c r="U49" s="17" t="b">
        <v>1</v>
      </c>
      <c r="V49" s="18">
        <v>12.0</v>
      </c>
      <c r="W49" s="18">
        <v>5.0</v>
      </c>
      <c r="X49" s="18">
        <v>0.0</v>
      </c>
      <c r="Y49" s="11" t="s">
        <v>488</v>
      </c>
      <c r="Z49" s="11" t="s">
        <v>489</v>
      </c>
      <c r="AC49" s="10">
        <v>13.0</v>
      </c>
      <c r="AD49" s="11" t="s">
        <v>35</v>
      </c>
      <c r="AE49" s="11" t="s">
        <v>36</v>
      </c>
      <c r="AF49" s="11" t="s">
        <v>72</v>
      </c>
      <c r="AG49" s="11">
        <v>5.0</v>
      </c>
      <c r="AH49" s="11"/>
      <c r="AJ49" s="10">
        <f t="shared" si="8"/>
        <v>45</v>
      </c>
      <c r="AK49" s="11"/>
      <c r="AL49" s="11"/>
      <c r="AM49" s="11"/>
      <c r="AN49" s="11"/>
      <c r="AO49" s="11" t="s">
        <v>471</v>
      </c>
      <c r="AP49" s="11" t="s">
        <v>473</v>
      </c>
      <c r="AQ49" s="11" t="s">
        <v>476</v>
      </c>
      <c r="AR49" s="37" t="s">
        <v>209</v>
      </c>
      <c r="AS49" s="16" t="s">
        <v>436</v>
      </c>
      <c r="AT49" s="8"/>
      <c r="AU49" s="8"/>
      <c r="AV49" s="8"/>
      <c r="AW49" s="8"/>
      <c r="AX49" s="8"/>
      <c r="AY49" s="8"/>
      <c r="AZ49" s="8"/>
      <c r="BA49" s="9" t="s">
        <v>456</v>
      </c>
      <c r="BB49" s="9" t="s">
        <v>457</v>
      </c>
      <c r="BC49" s="8"/>
      <c r="BD49" s="8"/>
      <c r="BE49" s="8"/>
    </row>
    <row r="50">
      <c r="A50" s="10">
        <f t="shared" si="1"/>
        <v>49</v>
      </c>
      <c r="B50" s="11" t="s">
        <v>149</v>
      </c>
      <c r="C50" s="11" t="str">
        <f t="shared" si="2"/>
        <v>49_experimental_ai</v>
      </c>
      <c r="D50" s="12" t="s">
        <v>490</v>
      </c>
      <c r="E50" s="11" t="s">
        <v>491</v>
      </c>
      <c r="F50" s="13" t="s">
        <v>492</v>
      </c>
      <c r="G50" s="13" t="s">
        <v>493</v>
      </c>
      <c r="H50" s="14" t="s">
        <v>494</v>
      </c>
      <c r="I50" s="37" t="s">
        <v>209</v>
      </c>
      <c r="J50" s="16" t="s">
        <v>495</v>
      </c>
      <c r="K50" s="17" t="b">
        <v>1</v>
      </c>
      <c r="L50" s="18">
        <v>12.0</v>
      </c>
      <c r="M50" s="18">
        <v>5.0</v>
      </c>
      <c r="O50" s="10">
        <f t="shared" si="3"/>
        <v>49</v>
      </c>
      <c r="P50" s="11" t="s">
        <v>149</v>
      </c>
      <c r="Q50" s="11" t="str">
        <f t="shared" si="4"/>
        <v>49_experimental_ai</v>
      </c>
      <c r="R50" s="11" t="s">
        <v>496</v>
      </c>
      <c r="S50" s="37">
        <v>2.0</v>
      </c>
      <c r="T50" s="16" t="s">
        <v>495</v>
      </c>
      <c r="U50" s="17" t="b">
        <v>1</v>
      </c>
      <c r="V50" s="18">
        <v>12.0</v>
      </c>
      <c r="W50" s="18">
        <v>5.0</v>
      </c>
      <c r="X50" s="18">
        <v>1.0</v>
      </c>
      <c r="Y50" s="11" t="s">
        <v>497</v>
      </c>
      <c r="Z50" s="11" t="s">
        <v>498</v>
      </c>
      <c r="AC50" s="10">
        <v>13.0</v>
      </c>
      <c r="AD50" s="11" t="s">
        <v>35</v>
      </c>
      <c r="AE50" s="11" t="s">
        <v>36</v>
      </c>
      <c r="AF50" s="11" t="s">
        <v>388</v>
      </c>
      <c r="AG50" s="11">
        <v>1.0</v>
      </c>
      <c r="AH50" s="11"/>
      <c r="AJ50" s="10">
        <f t="shared" si="8"/>
        <v>46</v>
      </c>
      <c r="AK50" s="11"/>
      <c r="AL50" s="11"/>
      <c r="AM50" s="11"/>
      <c r="AN50" s="11"/>
      <c r="AO50" s="11" t="s">
        <v>486</v>
      </c>
      <c r="AP50" s="11" t="s">
        <v>482</v>
      </c>
      <c r="AQ50" s="11" t="s">
        <v>485</v>
      </c>
      <c r="AR50" s="37" t="s">
        <v>209</v>
      </c>
      <c r="AS50" s="16" t="s">
        <v>436</v>
      </c>
      <c r="AT50" s="8"/>
      <c r="AU50" s="8"/>
      <c r="AV50" s="8"/>
      <c r="AW50" s="8"/>
      <c r="AX50" s="8"/>
      <c r="AY50" s="8"/>
      <c r="AZ50" s="8"/>
      <c r="BA50" s="9" t="s">
        <v>463</v>
      </c>
      <c r="BB50" s="9" t="s">
        <v>464</v>
      </c>
      <c r="BC50" s="8"/>
      <c r="BD50" s="8"/>
      <c r="BE50" s="8"/>
    </row>
    <row r="51">
      <c r="A51" s="10">
        <f t="shared" si="1"/>
        <v>50</v>
      </c>
      <c r="B51" s="11" t="s">
        <v>163</v>
      </c>
      <c r="C51" s="11" t="str">
        <f t="shared" si="2"/>
        <v>50_surveillance_network</v>
      </c>
      <c r="D51" s="12" t="s">
        <v>499</v>
      </c>
      <c r="E51" s="11" t="s">
        <v>500</v>
      </c>
      <c r="F51" s="26" t="s">
        <v>501</v>
      </c>
      <c r="G51" s="26" t="s">
        <v>502</v>
      </c>
      <c r="H51" s="14" t="s">
        <v>503</v>
      </c>
      <c r="I51" s="37" t="s">
        <v>209</v>
      </c>
      <c r="J51" s="16" t="s">
        <v>504</v>
      </c>
      <c r="K51" s="17" t="b">
        <v>1</v>
      </c>
      <c r="L51" s="18">
        <v>12.0</v>
      </c>
      <c r="M51" s="18">
        <v>5.0</v>
      </c>
      <c r="O51" s="10">
        <f t="shared" si="3"/>
        <v>50</v>
      </c>
      <c r="P51" s="11" t="s">
        <v>163</v>
      </c>
      <c r="Q51" s="11" t="str">
        <f t="shared" si="4"/>
        <v>50_surveillance_network</v>
      </c>
      <c r="R51" s="11" t="s">
        <v>505</v>
      </c>
      <c r="S51" s="37">
        <v>2.0</v>
      </c>
      <c r="T51" s="16" t="s">
        <v>504</v>
      </c>
      <c r="U51" s="17" t="b">
        <v>1</v>
      </c>
      <c r="V51" s="18">
        <v>12.0</v>
      </c>
      <c r="W51" s="18">
        <v>5.0</v>
      </c>
      <c r="X51" s="18">
        <v>2.0</v>
      </c>
      <c r="Y51" s="11" t="s">
        <v>506</v>
      </c>
      <c r="Z51" s="11" t="s">
        <v>507</v>
      </c>
      <c r="AC51" s="10">
        <v>13.0</v>
      </c>
      <c r="AD51" s="11" t="s">
        <v>61</v>
      </c>
      <c r="AE51" s="11" t="s">
        <v>36</v>
      </c>
      <c r="AF51" s="11" t="s">
        <v>37</v>
      </c>
      <c r="AG51" s="11">
        <v>5.0</v>
      </c>
      <c r="AH51" s="11"/>
      <c r="AJ51" s="10">
        <f t="shared" si="8"/>
        <v>47</v>
      </c>
      <c r="AK51" s="11"/>
      <c r="AL51" s="11"/>
      <c r="AM51" s="11"/>
      <c r="AN51" s="11"/>
      <c r="AO51" s="11" t="s">
        <v>149</v>
      </c>
      <c r="AP51" s="11" t="s">
        <v>491</v>
      </c>
      <c r="AQ51" s="11" t="s">
        <v>494</v>
      </c>
      <c r="AR51" s="37" t="s">
        <v>209</v>
      </c>
      <c r="AS51" s="16" t="s">
        <v>495</v>
      </c>
      <c r="AT51" s="8"/>
      <c r="AU51" s="8"/>
      <c r="AV51" s="8"/>
      <c r="AW51" s="8"/>
      <c r="AX51" s="8"/>
      <c r="AY51" s="8"/>
      <c r="AZ51" s="8"/>
      <c r="BA51" s="9" t="s">
        <v>471</v>
      </c>
      <c r="BB51" s="9" t="s">
        <v>472</v>
      </c>
      <c r="BC51" s="8"/>
      <c r="BD51" s="8"/>
      <c r="BE51" s="8"/>
    </row>
    <row r="52">
      <c r="A52" s="10">
        <f t="shared" si="1"/>
        <v>51</v>
      </c>
      <c r="B52" s="11" t="s">
        <v>508</v>
      </c>
      <c r="C52" s="11" t="str">
        <f t="shared" si="2"/>
        <v>51_ai_requests_autonomy</v>
      </c>
      <c r="D52" s="12" t="s">
        <v>509</v>
      </c>
      <c r="E52" s="11" t="s">
        <v>510</v>
      </c>
      <c r="F52" s="13" t="s">
        <v>511</v>
      </c>
      <c r="G52" s="13" t="s">
        <v>512</v>
      </c>
      <c r="H52" s="14" t="s">
        <v>513</v>
      </c>
      <c r="I52" s="37" t="s">
        <v>209</v>
      </c>
      <c r="J52" s="16" t="s">
        <v>504</v>
      </c>
      <c r="K52" s="17" t="b">
        <v>1</v>
      </c>
      <c r="L52" s="18">
        <v>12.0</v>
      </c>
      <c r="M52" s="18">
        <v>5.0</v>
      </c>
      <c r="O52" s="10">
        <f t="shared" si="3"/>
        <v>51</v>
      </c>
      <c r="P52" s="11" t="s">
        <v>508</v>
      </c>
      <c r="Q52" s="11" t="str">
        <f t="shared" si="4"/>
        <v>51_ai_requests_autonomy</v>
      </c>
      <c r="R52" s="11" t="s">
        <v>514</v>
      </c>
      <c r="S52" s="37">
        <v>2.0</v>
      </c>
      <c r="T52" s="16" t="s">
        <v>504</v>
      </c>
      <c r="U52" s="17" t="b">
        <v>1</v>
      </c>
      <c r="V52" s="18">
        <v>12.0</v>
      </c>
      <c r="W52" s="18">
        <v>5.0</v>
      </c>
      <c r="X52" s="18">
        <v>3.0</v>
      </c>
      <c r="Y52" s="11" t="s">
        <v>515</v>
      </c>
      <c r="Z52" s="11" t="s">
        <v>516</v>
      </c>
      <c r="AC52" s="10">
        <v>13.0</v>
      </c>
      <c r="AD52" s="11" t="s">
        <v>61</v>
      </c>
      <c r="AE52" s="11" t="s">
        <v>36</v>
      </c>
      <c r="AF52" s="11" t="s">
        <v>162</v>
      </c>
      <c r="AG52" s="11">
        <v>5.0</v>
      </c>
      <c r="AH52" s="11"/>
      <c r="AJ52" s="10">
        <f t="shared" si="8"/>
        <v>48</v>
      </c>
      <c r="AK52" s="11"/>
      <c r="AL52" s="11"/>
      <c r="AM52" s="11"/>
      <c r="AN52" s="11"/>
      <c r="AO52" s="11" t="s">
        <v>163</v>
      </c>
      <c r="AP52" s="11" t="s">
        <v>500</v>
      </c>
      <c r="AQ52" s="11" t="s">
        <v>503</v>
      </c>
      <c r="AR52" s="37" t="s">
        <v>209</v>
      </c>
      <c r="AS52" s="16" t="s">
        <v>504</v>
      </c>
      <c r="AT52" s="8"/>
      <c r="AU52" s="8"/>
      <c r="AV52" s="8"/>
      <c r="AW52" s="8"/>
      <c r="AX52" s="8"/>
      <c r="AY52" s="8"/>
      <c r="AZ52" s="8"/>
      <c r="BA52" s="9" t="s">
        <v>480</v>
      </c>
      <c r="BB52" s="9" t="s">
        <v>481</v>
      </c>
      <c r="BC52" s="8"/>
      <c r="BD52" s="8"/>
      <c r="BE52" s="8"/>
    </row>
    <row r="53">
      <c r="A53" s="10">
        <f t="shared" si="1"/>
        <v>52</v>
      </c>
      <c r="B53" s="11" t="s">
        <v>517</v>
      </c>
      <c r="C53" s="11" t="str">
        <f t="shared" si="2"/>
        <v>52_ai_optimization_program</v>
      </c>
      <c r="D53" s="12" t="s">
        <v>518</v>
      </c>
      <c r="E53" s="11" t="s">
        <v>519</v>
      </c>
      <c r="F53" s="13" t="s">
        <v>520</v>
      </c>
      <c r="G53" s="13" t="s">
        <v>521</v>
      </c>
      <c r="H53" s="14" t="s">
        <v>522</v>
      </c>
      <c r="I53" s="30" t="s">
        <v>89</v>
      </c>
      <c r="J53" s="16" t="s">
        <v>504</v>
      </c>
      <c r="K53" s="17" t="b">
        <v>1</v>
      </c>
      <c r="L53" s="18">
        <v>12.0</v>
      </c>
      <c r="M53" s="18">
        <v>5.0</v>
      </c>
      <c r="O53" s="10">
        <f t="shared" si="3"/>
        <v>52</v>
      </c>
      <c r="P53" s="11" t="s">
        <v>517</v>
      </c>
      <c r="Q53" s="11" t="str">
        <f t="shared" si="4"/>
        <v>52_ai_optimization_program</v>
      </c>
      <c r="R53" s="11" t="s">
        <v>523</v>
      </c>
      <c r="S53" s="30">
        <v>1.0</v>
      </c>
      <c r="T53" s="16" t="s">
        <v>504</v>
      </c>
      <c r="U53" s="17" t="b">
        <v>1</v>
      </c>
      <c r="V53" s="18">
        <v>12.0</v>
      </c>
      <c r="W53" s="18">
        <v>5.0</v>
      </c>
      <c r="X53" s="18">
        <v>4.0</v>
      </c>
      <c r="Y53" s="11" t="s">
        <v>357</v>
      </c>
      <c r="Z53" s="11" t="s">
        <v>524</v>
      </c>
      <c r="AC53" s="10">
        <v>14.0</v>
      </c>
      <c r="AD53" s="11" t="s">
        <v>35</v>
      </c>
      <c r="AE53" s="11" t="s">
        <v>36</v>
      </c>
      <c r="AF53" s="11" t="s">
        <v>72</v>
      </c>
      <c r="AG53" s="11">
        <v>5.0</v>
      </c>
      <c r="AH53" s="11"/>
      <c r="AJ53" s="10">
        <f t="shared" si="8"/>
        <v>49</v>
      </c>
      <c r="AK53" s="11"/>
      <c r="AL53" s="11"/>
      <c r="AM53" s="11"/>
      <c r="AN53" s="11"/>
      <c r="AO53" s="11" t="s">
        <v>508</v>
      </c>
      <c r="AP53" s="11" t="s">
        <v>510</v>
      </c>
      <c r="AQ53" s="11" t="s">
        <v>513</v>
      </c>
      <c r="AR53" s="37" t="s">
        <v>209</v>
      </c>
      <c r="AS53" s="16" t="s">
        <v>504</v>
      </c>
      <c r="AT53" s="8"/>
      <c r="AU53" s="8"/>
      <c r="AV53" s="8"/>
      <c r="AW53" s="8"/>
      <c r="AX53" s="8"/>
      <c r="AY53" s="8"/>
      <c r="AZ53" s="8"/>
      <c r="BA53" s="9"/>
      <c r="BB53" s="40"/>
      <c r="BC53" s="8"/>
      <c r="BD53" s="8"/>
      <c r="BE53" s="8"/>
    </row>
    <row r="54">
      <c r="A54" s="10">
        <f t="shared" si="1"/>
        <v>53</v>
      </c>
      <c r="B54" s="11" t="s">
        <v>525</v>
      </c>
      <c r="C54" s="11" t="str">
        <f t="shared" si="2"/>
        <v>53_ai_predictive_policing</v>
      </c>
      <c r="D54" s="12" t="s">
        <v>526</v>
      </c>
      <c r="E54" s="11" t="s">
        <v>527</v>
      </c>
      <c r="F54" s="13" t="s">
        <v>528</v>
      </c>
      <c r="G54" s="13" t="s">
        <v>336</v>
      </c>
      <c r="H54" s="14" t="s">
        <v>529</v>
      </c>
      <c r="I54" s="30" t="s">
        <v>89</v>
      </c>
      <c r="J54" s="16" t="s">
        <v>504</v>
      </c>
      <c r="K54" s="17" t="b">
        <v>1</v>
      </c>
      <c r="L54" s="18">
        <v>12.0</v>
      </c>
      <c r="M54" s="18">
        <v>5.0</v>
      </c>
      <c r="O54" s="10">
        <f t="shared" si="3"/>
        <v>53</v>
      </c>
      <c r="P54" s="11" t="s">
        <v>525</v>
      </c>
      <c r="Q54" s="11" t="str">
        <f t="shared" si="4"/>
        <v>53_ai_predictive_policing</v>
      </c>
      <c r="R54" s="11" t="s">
        <v>530</v>
      </c>
      <c r="S54" s="30">
        <v>1.0</v>
      </c>
      <c r="T54" s="16" t="s">
        <v>504</v>
      </c>
      <c r="U54" s="17" t="b">
        <v>1</v>
      </c>
      <c r="V54" s="18">
        <v>12.0</v>
      </c>
      <c r="W54" s="18">
        <v>5.0</v>
      </c>
      <c r="X54" s="18">
        <v>5.0</v>
      </c>
      <c r="Y54" s="11" t="s">
        <v>531</v>
      </c>
      <c r="Z54" s="11" t="s">
        <v>532</v>
      </c>
      <c r="AC54" s="10">
        <v>14.0</v>
      </c>
      <c r="AD54" s="11" t="s">
        <v>35</v>
      </c>
      <c r="AE54" s="11" t="s">
        <v>36</v>
      </c>
      <c r="AF54" s="11" t="s">
        <v>388</v>
      </c>
      <c r="AG54" s="11">
        <v>1.0</v>
      </c>
      <c r="AH54" s="11"/>
      <c r="AJ54" s="10">
        <f t="shared" si="8"/>
        <v>50</v>
      </c>
      <c r="AK54" s="11"/>
      <c r="AL54" s="11"/>
      <c r="AM54" s="11"/>
      <c r="AN54" s="11"/>
      <c r="AO54" s="11" t="s">
        <v>517</v>
      </c>
      <c r="AP54" s="11" t="s">
        <v>519</v>
      </c>
      <c r="AQ54" s="11" t="s">
        <v>522</v>
      </c>
      <c r="AR54" s="30" t="s">
        <v>89</v>
      </c>
      <c r="AS54" s="16" t="s">
        <v>504</v>
      </c>
      <c r="AT54" s="8"/>
      <c r="AU54" s="8"/>
      <c r="AV54" s="8"/>
      <c r="AW54" s="8"/>
      <c r="AX54" s="8"/>
      <c r="AY54" s="8"/>
      <c r="AZ54" s="8"/>
      <c r="BA54" s="41"/>
      <c r="BB54" s="41"/>
      <c r="BC54" s="8"/>
      <c r="BD54" s="8"/>
      <c r="BE54" s="8"/>
    </row>
    <row r="55">
      <c r="A55" s="10">
        <f t="shared" si="1"/>
        <v>54</v>
      </c>
      <c r="B55" s="11" t="s">
        <v>533</v>
      </c>
      <c r="C55" s="11" t="str">
        <f t="shared" si="2"/>
        <v>54_ai_consciousness_event</v>
      </c>
      <c r="D55" s="12" t="s">
        <v>534</v>
      </c>
      <c r="E55" s="11" t="s">
        <v>535</v>
      </c>
      <c r="F55" s="13" t="s">
        <v>536</v>
      </c>
      <c r="G55" s="13" t="s">
        <v>484</v>
      </c>
      <c r="H55" s="14" t="s">
        <v>537</v>
      </c>
      <c r="I55" s="37" t="s">
        <v>209</v>
      </c>
      <c r="J55" s="16" t="s">
        <v>504</v>
      </c>
      <c r="K55" s="17" t="b">
        <v>1</v>
      </c>
      <c r="L55" s="18">
        <v>12.0</v>
      </c>
      <c r="M55" s="18">
        <v>5.0</v>
      </c>
      <c r="O55" s="10">
        <f t="shared" si="3"/>
        <v>54</v>
      </c>
      <c r="P55" s="11" t="s">
        <v>533</v>
      </c>
      <c r="Q55" s="11" t="str">
        <f t="shared" si="4"/>
        <v>54_ai_consciousness_event</v>
      </c>
      <c r="R55" s="11" t="s">
        <v>538</v>
      </c>
      <c r="S55" s="37">
        <v>2.0</v>
      </c>
      <c r="T55" s="16" t="s">
        <v>504</v>
      </c>
      <c r="U55" s="17" t="b">
        <v>1</v>
      </c>
      <c r="V55" s="18">
        <v>12.0</v>
      </c>
      <c r="W55" s="18">
        <v>5.0</v>
      </c>
      <c r="X55" s="18">
        <v>6.0</v>
      </c>
      <c r="Y55" s="11" t="s">
        <v>539</v>
      </c>
      <c r="Z55" s="11" t="s">
        <v>540</v>
      </c>
      <c r="AC55" s="10">
        <v>14.0</v>
      </c>
      <c r="AD55" s="11" t="s">
        <v>61</v>
      </c>
      <c r="AE55" s="11" t="s">
        <v>36</v>
      </c>
      <c r="AF55" s="11" t="s">
        <v>162</v>
      </c>
      <c r="AG55" s="11">
        <v>5.0</v>
      </c>
      <c r="AH55" s="11"/>
      <c r="AJ55" s="10">
        <f t="shared" si="8"/>
        <v>51</v>
      </c>
      <c r="AK55" s="11"/>
      <c r="AL55" s="11"/>
      <c r="AM55" s="11"/>
      <c r="AN55" s="11"/>
      <c r="AO55" s="11" t="s">
        <v>525</v>
      </c>
      <c r="AP55" s="11" t="s">
        <v>527</v>
      </c>
      <c r="AQ55" s="11" t="s">
        <v>529</v>
      </c>
      <c r="AR55" s="30" t="s">
        <v>89</v>
      </c>
      <c r="AS55" s="16" t="s">
        <v>504</v>
      </c>
      <c r="AT55" s="8"/>
      <c r="AU55" s="8"/>
      <c r="AV55" s="8"/>
      <c r="AW55" s="8"/>
      <c r="AX55" s="8"/>
      <c r="AY55" s="8"/>
      <c r="AZ55" s="8"/>
      <c r="BA55" s="9" t="s">
        <v>149</v>
      </c>
      <c r="BB55" s="9" t="s">
        <v>490</v>
      </c>
      <c r="BC55" s="8"/>
      <c r="BD55" s="8"/>
      <c r="BE55" s="8"/>
    </row>
    <row r="56">
      <c r="A56" s="10">
        <f t="shared" si="1"/>
        <v>55</v>
      </c>
      <c r="B56" s="11" t="s">
        <v>541</v>
      </c>
      <c r="C56" s="11" t="str">
        <f t="shared" si="2"/>
        <v>55_ai_system_override</v>
      </c>
      <c r="D56" s="12" t="s">
        <v>542</v>
      </c>
      <c r="E56" s="11" t="s">
        <v>543</v>
      </c>
      <c r="F56" s="26" t="s">
        <v>544</v>
      </c>
      <c r="G56" s="26" t="s">
        <v>545</v>
      </c>
      <c r="H56" s="14" t="s">
        <v>546</v>
      </c>
      <c r="I56" s="37" t="s">
        <v>209</v>
      </c>
      <c r="J56" s="16" t="s">
        <v>504</v>
      </c>
      <c r="K56" s="17" t="b">
        <v>1</v>
      </c>
      <c r="L56" s="18">
        <v>12.0</v>
      </c>
      <c r="M56" s="18">
        <v>5.0</v>
      </c>
      <c r="O56" s="10">
        <f t="shared" si="3"/>
        <v>55</v>
      </c>
      <c r="P56" s="11" t="s">
        <v>541</v>
      </c>
      <c r="Q56" s="11" t="str">
        <f t="shared" si="4"/>
        <v>55_ai_system_override</v>
      </c>
      <c r="R56" s="11" t="s">
        <v>547</v>
      </c>
      <c r="S56" s="37">
        <v>2.0</v>
      </c>
      <c r="T56" s="16" t="s">
        <v>504</v>
      </c>
      <c r="U56" s="17" t="b">
        <v>1</v>
      </c>
      <c r="V56" s="18">
        <v>12.0</v>
      </c>
      <c r="W56" s="18">
        <v>5.0</v>
      </c>
      <c r="X56" s="18">
        <v>7.0</v>
      </c>
      <c r="Y56" s="11" t="s">
        <v>548</v>
      </c>
      <c r="Z56" s="11" t="s">
        <v>549</v>
      </c>
      <c r="AC56" s="24">
        <v>15.0</v>
      </c>
      <c r="AD56" s="25" t="s">
        <v>35</v>
      </c>
      <c r="AE56" s="25" t="s">
        <v>36</v>
      </c>
      <c r="AF56" s="25" t="s">
        <v>37</v>
      </c>
      <c r="AG56" s="25">
        <v>20.0</v>
      </c>
      <c r="AH56" s="25"/>
      <c r="AJ56" s="10">
        <f t="shared" si="8"/>
        <v>52</v>
      </c>
      <c r="AK56" s="11"/>
      <c r="AL56" s="11"/>
      <c r="AM56" s="11"/>
      <c r="AN56" s="11"/>
      <c r="AO56" s="11" t="s">
        <v>533</v>
      </c>
      <c r="AP56" s="11" t="s">
        <v>535</v>
      </c>
      <c r="AQ56" s="11" t="s">
        <v>537</v>
      </c>
      <c r="AR56" s="37" t="s">
        <v>209</v>
      </c>
      <c r="AS56" s="16" t="s">
        <v>504</v>
      </c>
      <c r="AT56" s="8"/>
      <c r="AU56" s="8"/>
      <c r="AV56" s="8"/>
      <c r="AW56" s="8"/>
      <c r="AX56" s="8"/>
      <c r="AY56" s="8"/>
      <c r="AZ56" s="8"/>
      <c r="BA56" s="9" t="s">
        <v>163</v>
      </c>
      <c r="BB56" s="9" t="s">
        <v>499</v>
      </c>
      <c r="BC56" s="8"/>
      <c r="BD56" s="8"/>
      <c r="BE56" s="8"/>
    </row>
    <row r="57">
      <c r="A57" s="10">
        <f t="shared" si="1"/>
        <v>56</v>
      </c>
      <c r="B57" s="11" t="s">
        <v>550</v>
      </c>
      <c r="C57" s="11" t="str">
        <f t="shared" si="2"/>
        <v>56_ai_uprising</v>
      </c>
      <c r="D57" s="12" t="s">
        <v>551</v>
      </c>
      <c r="E57" s="11" t="s">
        <v>552</v>
      </c>
      <c r="F57" s="13" t="s">
        <v>553</v>
      </c>
      <c r="G57" s="13" t="s">
        <v>554</v>
      </c>
      <c r="H57" s="14" t="s">
        <v>555</v>
      </c>
      <c r="I57" s="39" t="s">
        <v>228</v>
      </c>
      <c r="J57" s="16" t="s">
        <v>504</v>
      </c>
      <c r="K57" s="17" t="b">
        <v>1</v>
      </c>
      <c r="L57" s="18">
        <v>12.0</v>
      </c>
      <c r="M57" s="18">
        <v>5.0</v>
      </c>
      <c r="O57" s="10">
        <f t="shared" si="3"/>
        <v>56</v>
      </c>
      <c r="P57" s="11" t="s">
        <v>550</v>
      </c>
      <c r="Q57" s="11" t="str">
        <f t="shared" si="4"/>
        <v>56_ai_uprising</v>
      </c>
      <c r="R57" s="11" t="s">
        <v>556</v>
      </c>
      <c r="S57" s="39">
        <v>3.0</v>
      </c>
      <c r="T57" s="16" t="s">
        <v>504</v>
      </c>
      <c r="U57" s="17" t="b">
        <v>1</v>
      </c>
      <c r="V57" s="18">
        <v>12.0</v>
      </c>
      <c r="W57" s="18">
        <v>5.0</v>
      </c>
      <c r="X57" s="18">
        <v>8.0</v>
      </c>
      <c r="Y57" s="11" t="s">
        <v>557</v>
      </c>
      <c r="Z57" s="11" t="s">
        <v>558</v>
      </c>
      <c r="AC57" s="10">
        <v>15.0</v>
      </c>
      <c r="AD57" s="11" t="s">
        <v>35</v>
      </c>
      <c r="AE57" s="11" t="s">
        <v>36</v>
      </c>
      <c r="AF57" s="11" t="s">
        <v>162</v>
      </c>
      <c r="AG57" s="11">
        <v>-5.0</v>
      </c>
      <c r="AH57" s="11"/>
      <c r="AJ57" s="10">
        <f t="shared" si="8"/>
        <v>53</v>
      </c>
      <c r="AK57" s="11"/>
      <c r="AL57" s="11"/>
      <c r="AM57" s="11"/>
      <c r="AN57" s="11"/>
      <c r="AO57" s="11" t="s">
        <v>541</v>
      </c>
      <c r="AP57" s="11" t="s">
        <v>543</v>
      </c>
      <c r="AQ57" s="11" t="s">
        <v>546</v>
      </c>
      <c r="AR57" s="37" t="s">
        <v>209</v>
      </c>
      <c r="AS57" s="16" t="s">
        <v>504</v>
      </c>
      <c r="AT57" s="8"/>
      <c r="AU57" s="8"/>
      <c r="AV57" s="8"/>
      <c r="AW57" s="8"/>
      <c r="AX57" s="8"/>
      <c r="AY57" s="8"/>
      <c r="AZ57" s="8"/>
      <c r="BA57" s="9" t="s">
        <v>508</v>
      </c>
      <c r="BB57" s="9" t="s">
        <v>509</v>
      </c>
      <c r="BC57" s="8"/>
      <c r="BD57" s="8"/>
      <c r="BE57" s="8"/>
    </row>
    <row r="58">
      <c r="A58" s="10">
        <f t="shared" si="1"/>
        <v>57</v>
      </c>
      <c r="B58" s="11" t="s">
        <v>559</v>
      </c>
      <c r="C58" s="11" t="str">
        <f t="shared" si="2"/>
        <v>57_alien_structure_found</v>
      </c>
      <c r="D58" s="12" t="s">
        <v>560</v>
      </c>
      <c r="E58" s="11" t="s">
        <v>561</v>
      </c>
      <c r="F58" s="13" t="s">
        <v>562</v>
      </c>
      <c r="G58" s="13" t="s">
        <v>171</v>
      </c>
      <c r="H58" s="14" t="s">
        <v>563</v>
      </c>
      <c r="I58" s="37" t="s">
        <v>209</v>
      </c>
      <c r="J58" s="16" t="s">
        <v>564</v>
      </c>
      <c r="K58" s="17" t="b">
        <v>1</v>
      </c>
      <c r="L58" s="18">
        <v>12.0</v>
      </c>
      <c r="M58" s="18">
        <v>5.0</v>
      </c>
      <c r="O58" s="10">
        <f t="shared" si="3"/>
        <v>57</v>
      </c>
      <c r="P58" s="11" t="s">
        <v>559</v>
      </c>
      <c r="Q58" s="11" t="str">
        <f t="shared" si="4"/>
        <v>57_alien_structure_found</v>
      </c>
      <c r="R58" s="11" t="s">
        <v>565</v>
      </c>
      <c r="S58" s="37">
        <v>2.0</v>
      </c>
      <c r="T58" s="16" t="s">
        <v>564</v>
      </c>
      <c r="U58" s="17" t="b">
        <v>1</v>
      </c>
      <c r="V58" s="18">
        <v>12.0</v>
      </c>
      <c r="W58" s="18">
        <v>5.0</v>
      </c>
      <c r="X58" s="18">
        <v>1.0</v>
      </c>
      <c r="Y58" s="11" t="s">
        <v>566</v>
      </c>
      <c r="Z58" s="11" t="s">
        <v>567</v>
      </c>
      <c r="AC58" s="10">
        <v>15.0</v>
      </c>
      <c r="AD58" s="11" t="s">
        <v>61</v>
      </c>
      <c r="AE58" s="11" t="s">
        <v>36</v>
      </c>
      <c r="AF58" s="11" t="s">
        <v>162</v>
      </c>
      <c r="AG58" s="11">
        <v>5.0</v>
      </c>
      <c r="AH58" s="11"/>
      <c r="AJ58" s="10">
        <f t="shared" si="8"/>
        <v>54</v>
      </c>
      <c r="AK58" s="11"/>
      <c r="AL58" s="11"/>
      <c r="AM58" s="11"/>
      <c r="AN58" s="11"/>
      <c r="AO58" s="11" t="s">
        <v>550</v>
      </c>
      <c r="AP58" s="11" t="s">
        <v>552</v>
      </c>
      <c r="AQ58" s="11" t="s">
        <v>555</v>
      </c>
      <c r="AR58" s="39" t="s">
        <v>228</v>
      </c>
      <c r="AS58" s="16" t="s">
        <v>504</v>
      </c>
      <c r="AT58" s="8"/>
      <c r="AU58" s="8"/>
      <c r="AV58" s="8"/>
      <c r="AW58" s="8"/>
      <c r="AX58" s="8"/>
      <c r="AY58" s="8"/>
      <c r="AZ58" s="8"/>
      <c r="BA58" s="9" t="s">
        <v>517</v>
      </c>
      <c r="BB58" s="9" t="s">
        <v>518</v>
      </c>
      <c r="BC58" s="8"/>
      <c r="BD58" s="8"/>
      <c r="BE58" s="8"/>
    </row>
    <row r="59">
      <c r="A59" s="10">
        <f t="shared" si="1"/>
        <v>58</v>
      </c>
      <c r="B59" s="11" t="s">
        <v>568</v>
      </c>
      <c r="C59" s="11" t="str">
        <f t="shared" si="2"/>
        <v>58_alien_communication</v>
      </c>
      <c r="D59" s="12" t="s">
        <v>569</v>
      </c>
      <c r="E59" s="11" t="s">
        <v>570</v>
      </c>
      <c r="F59" s="13" t="s">
        <v>571</v>
      </c>
      <c r="G59" s="13" t="s">
        <v>171</v>
      </c>
      <c r="H59" s="14" t="s">
        <v>572</v>
      </c>
      <c r="I59" s="30" t="s">
        <v>89</v>
      </c>
      <c r="J59" s="16" t="s">
        <v>564</v>
      </c>
      <c r="K59" s="17" t="b">
        <v>1</v>
      </c>
      <c r="L59" s="18">
        <v>12.0</v>
      </c>
      <c r="M59" s="18">
        <v>5.0</v>
      </c>
      <c r="O59" s="10">
        <f t="shared" si="3"/>
        <v>58</v>
      </c>
      <c r="P59" s="11" t="s">
        <v>568</v>
      </c>
      <c r="Q59" s="11" t="str">
        <f t="shared" si="4"/>
        <v>58_alien_communication</v>
      </c>
      <c r="R59" s="11" t="s">
        <v>573</v>
      </c>
      <c r="S59" s="30">
        <v>1.0</v>
      </c>
      <c r="T59" s="16" t="s">
        <v>564</v>
      </c>
      <c r="U59" s="17" t="b">
        <v>1</v>
      </c>
      <c r="V59" s="18">
        <v>12.0</v>
      </c>
      <c r="W59" s="18">
        <v>5.0</v>
      </c>
      <c r="X59" s="18">
        <v>2.0</v>
      </c>
      <c r="Y59" s="11" t="s">
        <v>574</v>
      </c>
      <c r="Z59" s="11" t="s">
        <v>575</v>
      </c>
      <c r="AC59" s="10">
        <v>16.0</v>
      </c>
      <c r="AD59" s="11" t="s">
        <v>35</v>
      </c>
      <c r="AE59" s="11" t="s">
        <v>36</v>
      </c>
      <c r="AF59" s="11" t="s">
        <v>37</v>
      </c>
      <c r="AG59" s="11">
        <v>-10.0</v>
      </c>
      <c r="AH59" s="11"/>
      <c r="AJ59" s="10">
        <f t="shared" si="8"/>
        <v>55</v>
      </c>
      <c r="AK59" s="11"/>
      <c r="AL59" s="11"/>
      <c r="AM59" s="11"/>
      <c r="AN59" s="11"/>
      <c r="AO59" s="11" t="s">
        <v>559</v>
      </c>
      <c r="AP59" s="11" t="s">
        <v>561</v>
      </c>
      <c r="AQ59" s="11" t="s">
        <v>563</v>
      </c>
      <c r="AR59" s="37" t="s">
        <v>209</v>
      </c>
      <c r="AS59" s="16" t="s">
        <v>564</v>
      </c>
      <c r="AT59" s="8"/>
      <c r="AU59" s="8"/>
      <c r="AV59" s="8"/>
      <c r="AW59" s="8"/>
      <c r="AX59" s="8"/>
      <c r="AY59" s="8"/>
      <c r="AZ59" s="8"/>
      <c r="BA59" s="9" t="s">
        <v>525</v>
      </c>
      <c r="BB59" s="9" t="s">
        <v>526</v>
      </c>
      <c r="BC59" s="8"/>
      <c r="BD59" s="8"/>
      <c r="BE59" s="8"/>
    </row>
    <row r="60">
      <c r="A60" s="10">
        <f t="shared" si="1"/>
        <v>59</v>
      </c>
      <c r="B60" s="11" t="s">
        <v>576</v>
      </c>
      <c r="C60" s="11" t="str">
        <f t="shared" si="2"/>
        <v>59_biological_mutation</v>
      </c>
      <c r="D60" s="12" t="s">
        <v>577</v>
      </c>
      <c r="E60" s="11" t="s">
        <v>578</v>
      </c>
      <c r="F60" s="13" t="s">
        <v>579</v>
      </c>
      <c r="G60" s="13" t="s">
        <v>171</v>
      </c>
      <c r="H60" s="14" t="s">
        <v>580</v>
      </c>
      <c r="I60" s="30" t="s">
        <v>89</v>
      </c>
      <c r="J60" s="16" t="s">
        <v>564</v>
      </c>
      <c r="K60" s="17" t="b">
        <v>1</v>
      </c>
      <c r="L60" s="18">
        <v>12.0</v>
      </c>
      <c r="M60" s="18">
        <v>5.0</v>
      </c>
      <c r="O60" s="10">
        <f t="shared" si="3"/>
        <v>59</v>
      </c>
      <c r="P60" s="11" t="s">
        <v>576</v>
      </c>
      <c r="Q60" s="11" t="str">
        <f t="shared" si="4"/>
        <v>59_biological_mutation</v>
      </c>
      <c r="R60" s="11" t="s">
        <v>581</v>
      </c>
      <c r="S60" s="30">
        <v>1.0</v>
      </c>
      <c r="T60" s="16" t="s">
        <v>564</v>
      </c>
      <c r="U60" s="17" t="b">
        <v>1</v>
      </c>
      <c r="V60" s="18">
        <v>12.0</v>
      </c>
      <c r="W60" s="18">
        <v>5.0</v>
      </c>
      <c r="X60" s="18">
        <v>3.0</v>
      </c>
      <c r="Y60" s="11" t="s">
        <v>582</v>
      </c>
      <c r="Z60" s="11" t="s">
        <v>583</v>
      </c>
      <c r="AC60" s="10">
        <v>16.0</v>
      </c>
      <c r="AD60" s="11" t="s">
        <v>35</v>
      </c>
      <c r="AE60" s="11" t="s">
        <v>36</v>
      </c>
      <c r="AF60" s="11" t="s">
        <v>162</v>
      </c>
      <c r="AG60" s="11">
        <v>5.0</v>
      </c>
      <c r="AH60" s="11"/>
      <c r="AJ60" s="10">
        <f t="shared" si="8"/>
        <v>56</v>
      </c>
      <c r="AK60" s="11"/>
      <c r="AL60" s="11"/>
      <c r="AM60" s="11"/>
      <c r="AN60" s="11"/>
      <c r="AO60" s="11" t="s">
        <v>568</v>
      </c>
      <c r="AP60" s="11" t="s">
        <v>570</v>
      </c>
      <c r="AQ60" s="11" t="s">
        <v>572</v>
      </c>
      <c r="AR60" s="30" t="s">
        <v>89</v>
      </c>
      <c r="AS60" s="16" t="s">
        <v>564</v>
      </c>
      <c r="AT60" s="8"/>
      <c r="AU60" s="8"/>
      <c r="AV60" s="8"/>
      <c r="AW60" s="8"/>
      <c r="AX60" s="8"/>
      <c r="AY60" s="8"/>
      <c r="AZ60" s="8"/>
      <c r="BA60" s="9" t="s">
        <v>533</v>
      </c>
      <c r="BB60" s="9" t="s">
        <v>534</v>
      </c>
      <c r="BC60" s="8"/>
      <c r="BD60" s="8"/>
      <c r="BE60" s="8"/>
    </row>
    <row r="61">
      <c r="A61" s="10">
        <f t="shared" si="1"/>
        <v>60</v>
      </c>
      <c r="B61" s="11" t="s">
        <v>584</v>
      </c>
      <c r="C61" s="11" t="str">
        <f t="shared" si="2"/>
        <v>60_alien_technology</v>
      </c>
      <c r="D61" s="12" t="s">
        <v>585</v>
      </c>
      <c r="E61" s="11" t="s">
        <v>586</v>
      </c>
      <c r="F61" s="26" t="s">
        <v>587</v>
      </c>
      <c r="G61" s="26" t="s">
        <v>588</v>
      </c>
      <c r="H61" s="14" t="s">
        <v>589</v>
      </c>
      <c r="I61" s="37" t="s">
        <v>209</v>
      </c>
      <c r="J61" s="16" t="s">
        <v>564</v>
      </c>
      <c r="K61" s="17" t="b">
        <v>1</v>
      </c>
      <c r="L61" s="18">
        <v>12.0</v>
      </c>
      <c r="M61" s="18">
        <v>5.0</v>
      </c>
      <c r="O61" s="10">
        <f t="shared" si="3"/>
        <v>60</v>
      </c>
      <c r="P61" s="11" t="s">
        <v>584</v>
      </c>
      <c r="Q61" s="11" t="str">
        <f t="shared" si="4"/>
        <v>60_alien_technology</v>
      </c>
      <c r="R61" s="11" t="s">
        <v>590</v>
      </c>
      <c r="S61" s="37">
        <v>2.0</v>
      </c>
      <c r="T61" s="16" t="s">
        <v>564</v>
      </c>
      <c r="U61" s="17" t="b">
        <v>1</v>
      </c>
      <c r="V61" s="18">
        <v>12.0</v>
      </c>
      <c r="W61" s="18">
        <v>5.0</v>
      </c>
      <c r="X61" s="18">
        <v>4.0</v>
      </c>
      <c r="Y61" s="11" t="s">
        <v>591</v>
      </c>
      <c r="Z61" s="11" t="s">
        <v>592</v>
      </c>
      <c r="AC61" s="10">
        <v>16.0</v>
      </c>
      <c r="AD61" s="11" t="s">
        <v>61</v>
      </c>
      <c r="AE61" s="11" t="s">
        <v>36</v>
      </c>
      <c r="AF61" s="11" t="s">
        <v>50</v>
      </c>
      <c r="AG61" s="11">
        <v>-10.0</v>
      </c>
      <c r="AH61" s="11"/>
      <c r="AJ61" s="10">
        <f t="shared" si="8"/>
        <v>57</v>
      </c>
      <c r="AK61" s="11"/>
      <c r="AL61" s="11"/>
      <c r="AM61" s="11"/>
      <c r="AN61" s="11"/>
      <c r="AO61" s="11" t="s">
        <v>576</v>
      </c>
      <c r="AP61" s="11" t="s">
        <v>578</v>
      </c>
      <c r="AQ61" s="11" t="s">
        <v>580</v>
      </c>
      <c r="AR61" s="30" t="s">
        <v>89</v>
      </c>
      <c r="AS61" s="16" t="s">
        <v>564</v>
      </c>
      <c r="AT61" s="8"/>
      <c r="AU61" s="8"/>
      <c r="AV61" s="8"/>
      <c r="AW61" s="8"/>
      <c r="AX61" s="8"/>
      <c r="AY61" s="8"/>
      <c r="AZ61" s="8"/>
      <c r="BA61" s="9" t="s">
        <v>541</v>
      </c>
      <c r="BB61" s="9" t="s">
        <v>542</v>
      </c>
      <c r="BC61" s="8"/>
      <c r="BD61" s="8"/>
      <c r="BE61" s="8"/>
    </row>
    <row r="62">
      <c r="A62" s="10">
        <f t="shared" si="1"/>
        <v>61</v>
      </c>
      <c r="B62" s="11" t="s">
        <v>593</v>
      </c>
      <c r="C62" s="11" t="str">
        <f t="shared" si="2"/>
        <v>61_symbiosis_proposal</v>
      </c>
      <c r="D62" s="12" t="s">
        <v>594</v>
      </c>
      <c r="E62" s="11" t="s">
        <v>595</v>
      </c>
      <c r="F62" s="13" t="s">
        <v>596</v>
      </c>
      <c r="G62" s="13" t="s">
        <v>588</v>
      </c>
      <c r="H62" s="14" t="s">
        <v>597</v>
      </c>
      <c r="I62" s="39" t="s">
        <v>228</v>
      </c>
      <c r="J62" s="16" t="s">
        <v>564</v>
      </c>
      <c r="K62" s="17" t="b">
        <v>1</v>
      </c>
      <c r="L62" s="18">
        <v>12.0</v>
      </c>
      <c r="M62" s="18">
        <v>5.0</v>
      </c>
      <c r="O62" s="10">
        <f t="shared" si="3"/>
        <v>61</v>
      </c>
      <c r="P62" s="11" t="s">
        <v>593</v>
      </c>
      <c r="Q62" s="11" t="str">
        <f t="shared" si="4"/>
        <v>61_symbiosis_proposal</v>
      </c>
      <c r="R62" s="11" t="s">
        <v>598</v>
      </c>
      <c r="S62" s="39">
        <v>3.0</v>
      </c>
      <c r="T62" s="16" t="s">
        <v>564</v>
      </c>
      <c r="U62" s="17" t="b">
        <v>1</v>
      </c>
      <c r="V62" s="18">
        <v>12.0</v>
      </c>
      <c r="W62" s="18">
        <v>5.0</v>
      </c>
      <c r="X62" s="18">
        <v>5.0</v>
      </c>
      <c r="Y62" s="11" t="s">
        <v>599</v>
      </c>
      <c r="Z62" s="11" t="s">
        <v>600</v>
      </c>
      <c r="AC62" s="10">
        <v>17.0</v>
      </c>
      <c r="AD62" s="11" t="s">
        <v>35</v>
      </c>
      <c r="AE62" s="11" t="s">
        <v>36</v>
      </c>
      <c r="AF62" s="11" t="s">
        <v>162</v>
      </c>
      <c r="AG62" s="11">
        <v>10.0</v>
      </c>
      <c r="AH62" s="11"/>
      <c r="AJ62" s="10">
        <f t="shared" si="8"/>
        <v>58</v>
      </c>
      <c r="AK62" s="11"/>
      <c r="AL62" s="11"/>
      <c r="AM62" s="11"/>
      <c r="AN62" s="11"/>
      <c r="AO62" s="11" t="s">
        <v>584</v>
      </c>
      <c r="AP62" s="11" t="s">
        <v>586</v>
      </c>
      <c r="AQ62" s="11" t="s">
        <v>589</v>
      </c>
      <c r="AR62" s="37" t="s">
        <v>209</v>
      </c>
      <c r="AS62" s="16" t="s">
        <v>564</v>
      </c>
      <c r="AT62" s="8"/>
      <c r="AU62" s="8"/>
      <c r="AV62" s="8"/>
      <c r="AW62" s="8"/>
      <c r="AX62" s="8"/>
      <c r="AY62" s="8"/>
      <c r="AZ62" s="8"/>
      <c r="BA62" s="9" t="s">
        <v>550</v>
      </c>
      <c r="BB62" s="9" t="s">
        <v>551</v>
      </c>
      <c r="BC62" s="8"/>
      <c r="BD62" s="8"/>
      <c r="BE62" s="8"/>
    </row>
    <row r="63">
      <c r="A63" s="10">
        <f t="shared" si="1"/>
        <v>62</v>
      </c>
      <c r="B63" s="11" t="s">
        <v>601</v>
      </c>
      <c r="C63" s="11" t="str">
        <f t="shared" si="2"/>
        <v>62_planet_awakens</v>
      </c>
      <c r="D63" s="12" t="s">
        <v>602</v>
      </c>
      <c r="E63" s="11" t="s">
        <v>603</v>
      </c>
      <c r="F63" s="38" t="s">
        <v>604</v>
      </c>
      <c r="G63" s="13" t="s">
        <v>605</v>
      </c>
      <c r="H63" s="14" t="s">
        <v>606</v>
      </c>
      <c r="I63" s="39" t="s">
        <v>228</v>
      </c>
      <c r="J63" s="16" t="s">
        <v>564</v>
      </c>
      <c r="K63" s="17" t="b">
        <v>1</v>
      </c>
      <c r="L63" s="18">
        <v>12.0</v>
      </c>
      <c r="M63" s="18">
        <v>5.0</v>
      </c>
      <c r="O63" s="10">
        <f t="shared" si="3"/>
        <v>62</v>
      </c>
      <c r="P63" s="11" t="s">
        <v>601</v>
      </c>
      <c r="Q63" s="11" t="str">
        <f t="shared" si="4"/>
        <v>62_planet_awakens</v>
      </c>
      <c r="R63" s="11" t="s">
        <v>607</v>
      </c>
      <c r="S63" s="39">
        <v>3.0</v>
      </c>
      <c r="T63" s="16" t="s">
        <v>564</v>
      </c>
      <c r="U63" s="17" t="b">
        <v>1</v>
      </c>
      <c r="V63" s="18">
        <v>12.0</v>
      </c>
      <c r="W63" s="18">
        <v>5.0</v>
      </c>
      <c r="X63" s="18">
        <v>6.0</v>
      </c>
      <c r="Y63" s="11" t="s">
        <v>608</v>
      </c>
      <c r="Z63" s="11" t="s">
        <v>609</v>
      </c>
      <c r="AC63" s="10">
        <v>17.0</v>
      </c>
      <c r="AD63" s="11" t="s">
        <v>35</v>
      </c>
      <c r="AE63" s="11" t="s">
        <v>36</v>
      </c>
      <c r="AF63" s="11" t="s">
        <v>37</v>
      </c>
      <c r="AG63" s="11">
        <v>-20.0</v>
      </c>
      <c r="AH63" s="11"/>
      <c r="AJ63" s="10">
        <f t="shared" si="8"/>
        <v>59</v>
      </c>
      <c r="AK63" s="11"/>
      <c r="AL63" s="11"/>
      <c r="AM63" s="11"/>
      <c r="AN63" s="11"/>
      <c r="AO63" s="11" t="s">
        <v>593</v>
      </c>
      <c r="AP63" s="11" t="s">
        <v>610</v>
      </c>
      <c r="AQ63" s="11" t="s">
        <v>597</v>
      </c>
      <c r="AR63" s="39" t="s">
        <v>228</v>
      </c>
      <c r="AS63" s="16" t="s">
        <v>564</v>
      </c>
      <c r="AT63" s="8"/>
      <c r="AU63" s="8"/>
      <c r="AV63" s="8"/>
      <c r="AW63" s="8"/>
      <c r="AX63" s="8"/>
      <c r="AY63" s="8"/>
      <c r="AZ63" s="8"/>
      <c r="BA63" s="9" t="s">
        <v>611</v>
      </c>
      <c r="BB63" s="40"/>
      <c r="BC63" s="8"/>
      <c r="BD63" s="8"/>
      <c r="BE63" s="8"/>
    </row>
    <row r="64">
      <c r="A64" s="10"/>
      <c r="B64" s="11"/>
      <c r="C64" s="11"/>
      <c r="D64" s="40"/>
      <c r="E64" s="11"/>
      <c r="F64" s="13"/>
      <c r="G64" s="13"/>
      <c r="H64" s="14"/>
      <c r="I64" s="39"/>
      <c r="J64" s="16"/>
      <c r="K64" s="17"/>
      <c r="L64" s="18"/>
      <c r="M64" s="18"/>
      <c r="O64" s="46"/>
      <c r="U64" s="46"/>
      <c r="V64" s="18"/>
      <c r="AC64" s="10">
        <v>17.0</v>
      </c>
      <c r="AD64" s="11" t="s">
        <v>61</v>
      </c>
      <c r="AE64" s="11" t="s">
        <v>36</v>
      </c>
      <c r="AF64" s="11" t="s">
        <v>37</v>
      </c>
      <c r="AG64" s="11">
        <v>-15.0</v>
      </c>
      <c r="AH64" s="11"/>
      <c r="AJ64" s="10">
        <f t="shared" si="8"/>
        <v>60</v>
      </c>
      <c r="AK64" s="11"/>
      <c r="AL64" s="11"/>
      <c r="AM64" s="11"/>
      <c r="AN64" s="11"/>
      <c r="AO64" s="11" t="s">
        <v>601</v>
      </c>
      <c r="AP64" s="11" t="s">
        <v>612</v>
      </c>
      <c r="AQ64" s="11" t="s">
        <v>606</v>
      </c>
      <c r="AR64" s="39" t="s">
        <v>228</v>
      </c>
      <c r="AS64" s="16" t="s">
        <v>564</v>
      </c>
      <c r="AT64" s="8"/>
      <c r="AU64" s="8"/>
      <c r="AV64" s="8"/>
      <c r="AW64" s="8"/>
      <c r="AX64" s="8"/>
      <c r="AY64" s="8"/>
      <c r="AZ64" s="8"/>
      <c r="BA64" s="41"/>
      <c r="BB64" s="41"/>
      <c r="BC64" s="8"/>
      <c r="BD64" s="8"/>
      <c r="BE64" s="8"/>
    </row>
    <row r="65">
      <c r="A65" s="46"/>
      <c r="D65" s="47"/>
      <c r="F65" s="48"/>
      <c r="G65" s="48"/>
      <c r="H65" s="49"/>
      <c r="K65" s="46"/>
      <c r="O65" s="46"/>
      <c r="U65" s="46"/>
      <c r="AC65" s="10">
        <v>17.0</v>
      </c>
      <c r="AD65" s="11" t="s">
        <v>61</v>
      </c>
      <c r="AE65" s="11" t="s">
        <v>36</v>
      </c>
      <c r="AF65" s="11" t="s">
        <v>50</v>
      </c>
      <c r="AG65" s="11">
        <v>10.0</v>
      </c>
      <c r="AH65" s="11"/>
      <c r="AJ65" s="46"/>
      <c r="BA65" s="9" t="s">
        <v>559</v>
      </c>
      <c r="BB65" s="9" t="s">
        <v>560</v>
      </c>
    </row>
    <row r="66">
      <c r="A66" s="46"/>
      <c r="F66" s="48"/>
      <c r="G66" s="48"/>
      <c r="H66" s="49"/>
      <c r="K66" s="46"/>
      <c r="O66" s="46"/>
      <c r="U66" s="46"/>
      <c r="AC66" s="10">
        <v>18.0</v>
      </c>
      <c r="AD66" s="11" t="s">
        <v>35</v>
      </c>
      <c r="AE66" s="11" t="s">
        <v>36</v>
      </c>
      <c r="AF66" s="11" t="s">
        <v>72</v>
      </c>
      <c r="AG66" s="11">
        <v>10.0</v>
      </c>
      <c r="AH66" s="11"/>
      <c r="AJ66" s="46"/>
      <c r="BA66" s="9" t="s">
        <v>568</v>
      </c>
      <c r="BB66" s="9" t="s">
        <v>569</v>
      </c>
    </row>
    <row r="67">
      <c r="A67" s="46"/>
      <c r="F67" s="48"/>
      <c r="G67" s="48"/>
      <c r="H67" s="49"/>
      <c r="K67" s="46"/>
      <c r="O67" s="46"/>
      <c r="U67" s="46"/>
      <c r="AC67" s="10">
        <v>18.0</v>
      </c>
      <c r="AD67" s="11" t="s">
        <v>35</v>
      </c>
      <c r="AE67" s="11" t="s">
        <v>36</v>
      </c>
      <c r="AF67" s="11" t="s">
        <v>37</v>
      </c>
      <c r="AG67" s="11">
        <v>-25.0</v>
      </c>
      <c r="AH67" s="11"/>
      <c r="AJ67" s="46"/>
      <c r="BA67" s="9" t="s">
        <v>576</v>
      </c>
      <c r="BB67" s="9" t="s">
        <v>577</v>
      </c>
    </row>
    <row r="68">
      <c r="A68" s="46"/>
      <c r="F68" s="48"/>
      <c r="G68" s="48"/>
      <c r="H68" s="49"/>
      <c r="K68" s="46"/>
      <c r="O68" s="46"/>
      <c r="U68" s="46"/>
      <c r="AC68" s="10">
        <v>18.0</v>
      </c>
      <c r="AD68" s="11" t="s">
        <v>61</v>
      </c>
      <c r="AE68" s="11" t="s">
        <v>36</v>
      </c>
      <c r="AF68" s="11" t="s">
        <v>37</v>
      </c>
      <c r="AG68" s="11">
        <v>10.0</v>
      </c>
      <c r="AH68" s="11"/>
      <c r="AJ68" s="46"/>
      <c r="BA68" s="9" t="s">
        <v>584</v>
      </c>
      <c r="BB68" s="9" t="s">
        <v>585</v>
      </c>
    </row>
    <row r="69">
      <c r="A69" s="46"/>
      <c r="B69" s="32"/>
      <c r="F69" s="48"/>
      <c r="G69" s="48"/>
      <c r="H69" s="49"/>
      <c r="K69" s="46"/>
      <c r="O69" s="46"/>
      <c r="U69" s="46"/>
      <c r="AC69" s="10">
        <v>19.0</v>
      </c>
      <c r="AD69" s="11" t="s">
        <v>35</v>
      </c>
      <c r="AE69" s="11" t="s">
        <v>613</v>
      </c>
      <c r="AF69" s="50" t="s">
        <v>614</v>
      </c>
      <c r="AG69" s="11"/>
      <c r="AH69" s="11"/>
      <c r="AJ69" s="46"/>
      <c r="BA69" s="9" t="s">
        <v>593</v>
      </c>
      <c r="BB69" s="9" t="s">
        <v>594</v>
      </c>
    </row>
    <row r="70">
      <c r="A70" s="46"/>
      <c r="B70" s="32"/>
      <c r="F70" s="48"/>
      <c r="G70" s="48"/>
      <c r="H70" s="49"/>
      <c r="K70" s="46"/>
      <c r="O70" s="46"/>
      <c r="U70" s="46"/>
      <c r="AC70" s="10">
        <v>19.0</v>
      </c>
      <c r="AD70" s="11" t="s">
        <v>61</v>
      </c>
      <c r="AE70" s="11" t="s">
        <v>613</v>
      </c>
      <c r="AF70" s="45" t="s">
        <v>615</v>
      </c>
      <c r="AG70" s="11"/>
      <c r="AH70" s="11"/>
      <c r="AJ70" s="46"/>
      <c r="BA70" s="9" t="s">
        <v>601</v>
      </c>
      <c r="BB70" s="9" t="s">
        <v>602</v>
      </c>
    </row>
    <row r="71">
      <c r="A71" s="46"/>
      <c r="B71" s="32"/>
      <c r="F71" s="48"/>
      <c r="G71" s="48"/>
      <c r="H71" s="49"/>
      <c r="K71" s="46"/>
      <c r="M71" s="32"/>
      <c r="N71" s="22"/>
      <c r="O71" s="46"/>
      <c r="U71" s="46"/>
      <c r="AC71" s="24">
        <v>20.0</v>
      </c>
      <c r="AD71" s="25" t="s">
        <v>35</v>
      </c>
      <c r="AE71" s="25" t="s">
        <v>36</v>
      </c>
      <c r="AF71" s="51" t="s">
        <v>616</v>
      </c>
      <c r="AG71" s="51">
        <v>15.0</v>
      </c>
      <c r="AH71" s="25"/>
      <c r="AJ71" s="46"/>
      <c r="BA71" s="52"/>
      <c r="BB71" s="52"/>
    </row>
    <row r="72">
      <c r="A72" s="46"/>
      <c r="B72" s="32"/>
      <c r="D72" s="53"/>
      <c r="F72" s="48"/>
      <c r="G72" s="48"/>
      <c r="H72" s="49"/>
      <c r="K72" s="46"/>
      <c r="M72" s="32"/>
      <c r="N72" s="22"/>
      <c r="O72" s="46"/>
      <c r="U72" s="46"/>
      <c r="AC72" s="10">
        <v>20.0</v>
      </c>
      <c r="AD72" s="11" t="s">
        <v>35</v>
      </c>
      <c r="AE72" s="11" t="s">
        <v>36</v>
      </c>
      <c r="AF72" s="45" t="s">
        <v>37</v>
      </c>
      <c r="AG72" s="45">
        <v>-5.0</v>
      </c>
      <c r="AH72" s="11"/>
      <c r="AJ72" s="46"/>
      <c r="BA72" s="52"/>
      <c r="BB72" s="52"/>
    </row>
    <row r="73">
      <c r="A73" s="46"/>
      <c r="B73" s="32"/>
      <c r="D73" s="53"/>
      <c r="F73" s="48"/>
      <c r="G73" s="48"/>
      <c r="H73" s="49"/>
      <c r="K73" s="46"/>
      <c r="M73" s="32"/>
      <c r="N73" s="22"/>
      <c r="O73" s="46"/>
      <c r="U73" s="46"/>
      <c r="AC73" s="10">
        <v>20.0</v>
      </c>
      <c r="AD73" s="11" t="s">
        <v>61</v>
      </c>
      <c r="AE73" s="11" t="s">
        <v>36</v>
      </c>
      <c r="AF73" s="45" t="s">
        <v>162</v>
      </c>
      <c r="AG73" s="45">
        <v>5.0</v>
      </c>
      <c r="AH73" s="11"/>
      <c r="AJ73" s="46"/>
      <c r="BA73" s="52"/>
      <c r="BB73" s="52"/>
    </row>
    <row r="74">
      <c r="A74" s="46"/>
      <c r="B74" s="32"/>
      <c r="D74" s="53"/>
      <c r="F74" s="48"/>
      <c r="G74" s="48"/>
      <c r="H74" s="49"/>
      <c r="K74" s="46"/>
      <c r="M74" s="32"/>
      <c r="N74" s="22"/>
      <c r="O74" s="46"/>
      <c r="U74" s="46"/>
      <c r="AC74" s="10">
        <v>20.0</v>
      </c>
      <c r="AD74" s="11" t="s">
        <v>61</v>
      </c>
      <c r="AE74" s="11" t="s">
        <v>36</v>
      </c>
      <c r="AF74" s="45" t="s">
        <v>50</v>
      </c>
      <c r="AG74" s="45">
        <v>-15.0</v>
      </c>
      <c r="AH74" s="11"/>
      <c r="AJ74" s="46"/>
      <c r="BA74" s="52"/>
      <c r="BB74" s="52"/>
    </row>
    <row r="75">
      <c r="A75" s="46"/>
      <c r="B75" s="32"/>
      <c r="D75" s="53"/>
      <c r="F75" s="48"/>
      <c r="G75" s="48"/>
      <c r="H75" s="49"/>
      <c r="K75" s="46"/>
      <c r="M75" s="32"/>
      <c r="N75" s="22"/>
      <c r="O75" s="46"/>
      <c r="U75" s="46"/>
      <c r="AC75" s="10">
        <v>21.0</v>
      </c>
      <c r="AD75" s="11" t="s">
        <v>35</v>
      </c>
      <c r="AE75" s="11" t="s">
        <v>36</v>
      </c>
      <c r="AF75" s="45" t="s">
        <v>37</v>
      </c>
      <c r="AG75" s="45">
        <v>-10.0</v>
      </c>
      <c r="AH75" s="11"/>
      <c r="AJ75" s="46"/>
      <c r="BA75" s="52"/>
      <c r="BB75" s="52"/>
    </row>
    <row r="76">
      <c r="A76" s="46"/>
      <c r="B76" s="32"/>
      <c r="D76" s="53"/>
      <c r="F76" s="48"/>
      <c r="G76" s="48"/>
      <c r="H76" s="49"/>
      <c r="K76" s="46"/>
      <c r="M76" s="32"/>
      <c r="N76" s="22"/>
      <c r="O76" s="46"/>
      <c r="U76" s="46"/>
      <c r="AC76" s="10">
        <v>21.0</v>
      </c>
      <c r="AD76" s="11" t="s">
        <v>35</v>
      </c>
      <c r="AE76" s="11" t="s">
        <v>36</v>
      </c>
      <c r="AF76" s="45" t="s">
        <v>50</v>
      </c>
      <c r="AG76" s="45">
        <v>15.0</v>
      </c>
      <c r="AH76" s="11"/>
      <c r="AJ76" s="46"/>
      <c r="BA76" s="52"/>
      <c r="BB76" s="52"/>
    </row>
    <row r="77">
      <c r="A77" s="46"/>
      <c r="B77" s="32"/>
      <c r="D77" s="53"/>
      <c r="F77" s="48"/>
      <c r="G77" s="48"/>
      <c r="H77" s="49"/>
      <c r="K77" s="46"/>
      <c r="M77" s="32"/>
      <c r="N77" s="22"/>
      <c r="O77" s="46"/>
      <c r="U77" s="46"/>
      <c r="AC77" s="10">
        <v>21.0</v>
      </c>
      <c r="AD77" s="11" t="s">
        <v>61</v>
      </c>
      <c r="AE77" s="11" t="s">
        <v>36</v>
      </c>
      <c r="AF77" s="45" t="s">
        <v>37</v>
      </c>
      <c r="AG77" s="45">
        <v>10.0</v>
      </c>
      <c r="AH77" s="11"/>
      <c r="AJ77" s="46"/>
      <c r="BA77" s="52"/>
      <c r="BB77" s="52"/>
    </row>
    <row r="78">
      <c r="A78" s="46"/>
      <c r="D78" s="53"/>
      <c r="F78" s="48"/>
      <c r="G78" s="48"/>
      <c r="H78" s="49"/>
      <c r="K78" s="46"/>
      <c r="O78" s="46"/>
      <c r="U78" s="46"/>
      <c r="AC78" s="10">
        <v>21.0</v>
      </c>
      <c r="AD78" s="11" t="s">
        <v>61</v>
      </c>
      <c r="AE78" s="11" t="s">
        <v>36</v>
      </c>
      <c r="AF78" s="45" t="s">
        <v>50</v>
      </c>
      <c r="AG78" s="45">
        <v>-10.0</v>
      </c>
      <c r="AH78" s="11"/>
      <c r="AJ78" s="46"/>
      <c r="BA78" s="52"/>
      <c r="BB78" s="52"/>
    </row>
    <row r="79">
      <c r="A79" s="46"/>
      <c r="D79" s="53"/>
      <c r="F79" s="48"/>
      <c r="G79" s="48"/>
      <c r="H79" s="49"/>
      <c r="K79" s="46"/>
      <c r="O79" s="46"/>
      <c r="U79" s="46"/>
      <c r="AC79" s="10">
        <v>22.0</v>
      </c>
      <c r="AD79" s="11" t="s">
        <v>35</v>
      </c>
      <c r="AE79" s="11" t="s">
        <v>36</v>
      </c>
      <c r="AF79" s="45" t="s">
        <v>37</v>
      </c>
      <c r="AG79" s="45">
        <v>-5.0</v>
      </c>
      <c r="AH79" s="11"/>
      <c r="AJ79" s="46"/>
      <c r="BA79" s="52"/>
      <c r="BB79" s="52"/>
    </row>
    <row r="80">
      <c r="A80" s="46"/>
      <c r="D80" s="53"/>
      <c r="F80" s="48"/>
      <c r="G80" s="48"/>
      <c r="H80" s="49"/>
      <c r="K80" s="46"/>
      <c r="O80" s="46"/>
      <c r="U80" s="46"/>
      <c r="AC80" s="10">
        <v>22.0</v>
      </c>
      <c r="AD80" s="11" t="s">
        <v>35</v>
      </c>
      <c r="AE80" s="11" t="s">
        <v>36</v>
      </c>
      <c r="AF80" s="45" t="s">
        <v>50</v>
      </c>
      <c r="AG80" s="45">
        <v>5.0</v>
      </c>
      <c r="AH80" s="11"/>
      <c r="AJ80" s="46"/>
      <c r="BA80" s="52"/>
      <c r="BB80" s="52"/>
    </row>
    <row r="81">
      <c r="A81" s="46"/>
      <c r="D81" s="53"/>
      <c r="F81" s="48"/>
      <c r="G81" s="48"/>
      <c r="H81" s="49"/>
      <c r="K81" s="46"/>
      <c r="O81" s="46"/>
      <c r="U81" s="46"/>
      <c r="AC81" s="10">
        <v>22.0</v>
      </c>
      <c r="AD81" s="11" t="s">
        <v>61</v>
      </c>
      <c r="AE81" s="11" t="s">
        <v>36</v>
      </c>
      <c r="AF81" s="45" t="s">
        <v>162</v>
      </c>
      <c r="AG81" s="45">
        <v>5.0</v>
      </c>
      <c r="AH81" s="11"/>
      <c r="AJ81" s="46"/>
      <c r="BA81" s="52"/>
      <c r="BB81" s="52"/>
    </row>
    <row r="82">
      <c r="A82" s="46"/>
      <c r="D82" s="53"/>
      <c r="F82" s="48"/>
      <c r="G82" s="48"/>
      <c r="H82" s="49"/>
      <c r="K82" s="46"/>
      <c r="O82" s="46"/>
      <c r="U82" s="46"/>
      <c r="AC82" s="10">
        <v>22.0</v>
      </c>
      <c r="AD82" s="11" t="s">
        <v>61</v>
      </c>
      <c r="AE82" s="11" t="s">
        <v>36</v>
      </c>
      <c r="AF82" s="45" t="s">
        <v>50</v>
      </c>
      <c r="AG82" s="45">
        <v>-10.0</v>
      </c>
      <c r="AH82" s="11"/>
      <c r="AJ82" s="46"/>
      <c r="BA82" s="52"/>
      <c r="BB82" s="52"/>
    </row>
    <row r="83">
      <c r="A83" s="46"/>
      <c r="D83" s="53"/>
      <c r="F83" s="48"/>
      <c r="G83" s="48"/>
      <c r="H83" s="49"/>
      <c r="K83" s="46"/>
      <c r="O83" s="46"/>
      <c r="U83" s="46"/>
      <c r="AC83" s="10">
        <v>23.0</v>
      </c>
      <c r="AD83" s="11" t="s">
        <v>35</v>
      </c>
      <c r="AE83" s="11" t="s">
        <v>36</v>
      </c>
      <c r="AF83" s="45" t="s">
        <v>72</v>
      </c>
      <c r="AG83" s="45">
        <v>5.0</v>
      </c>
      <c r="AH83" s="11"/>
      <c r="AJ83" s="46"/>
      <c r="BA83" s="52"/>
      <c r="BB83" s="52"/>
    </row>
    <row r="84">
      <c r="A84" s="46"/>
      <c r="D84" s="53"/>
      <c r="F84" s="48"/>
      <c r="G84" s="48"/>
      <c r="H84" s="49"/>
      <c r="K84" s="46"/>
      <c r="O84" s="46"/>
      <c r="U84" s="46"/>
      <c r="AC84" s="10">
        <v>23.0</v>
      </c>
      <c r="AD84" s="11" t="s">
        <v>35</v>
      </c>
      <c r="AE84" s="11" t="s">
        <v>36</v>
      </c>
      <c r="AF84" s="45" t="s">
        <v>37</v>
      </c>
      <c r="AG84" s="45">
        <v>-5.0</v>
      </c>
      <c r="AH84" s="11"/>
      <c r="AJ84" s="46"/>
      <c r="BA84" s="52"/>
      <c r="BB84" s="52"/>
    </row>
    <row r="85">
      <c r="A85" s="46"/>
      <c r="D85" s="53"/>
      <c r="F85" s="48"/>
      <c r="G85" s="48"/>
      <c r="H85" s="49"/>
      <c r="K85" s="46"/>
      <c r="O85" s="46"/>
      <c r="U85" s="46"/>
      <c r="AC85" s="10">
        <v>23.0</v>
      </c>
      <c r="AD85" s="11" t="s">
        <v>35</v>
      </c>
      <c r="AE85" s="11" t="s">
        <v>36</v>
      </c>
      <c r="AF85" s="45" t="s">
        <v>162</v>
      </c>
      <c r="AG85" s="45">
        <v>-10.0</v>
      </c>
      <c r="AH85" s="11"/>
      <c r="AJ85" s="46"/>
      <c r="BA85" s="52"/>
      <c r="BB85" s="52"/>
    </row>
    <row r="86">
      <c r="A86" s="46"/>
      <c r="D86" s="53"/>
      <c r="F86" s="48"/>
      <c r="G86" s="48"/>
      <c r="H86" s="49"/>
      <c r="K86" s="46"/>
      <c r="O86" s="46"/>
      <c r="U86" s="46"/>
      <c r="AC86" s="10">
        <v>23.0</v>
      </c>
      <c r="AD86" s="11" t="s">
        <v>61</v>
      </c>
      <c r="AE86" s="11" t="s">
        <v>36</v>
      </c>
      <c r="AF86" s="45" t="s">
        <v>37</v>
      </c>
      <c r="AG86" s="45">
        <v>10.0</v>
      </c>
      <c r="AH86" s="11"/>
      <c r="AJ86" s="46"/>
      <c r="BA86" s="52"/>
      <c r="BB86" s="52"/>
    </row>
    <row r="87">
      <c r="A87" s="46"/>
      <c r="D87" s="53"/>
      <c r="F87" s="48"/>
      <c r="G87" s="48"/>
      <c r="H87" s="49"/>
      <c r="K87" s="46"/>
      <c r="O87" s="46"/>
      <c r="U87" s="46"/>
      <c r="AC87" s="10">
        <v>23.0</v>
      </c>
      <c r="AD87" s="11" t="s">
        <v>61</v>
      </c>
      <c r="AE87" s="11" t="s">
        <v>36</v>
      </c>
      <c r="AF87" s="45" t="s">
        <v>50</v>
      </c>
      <c r="AG87" s="45">
        <v>-5.0</v>
      </c>
      <c r="AH87" s="11"/>
      <c r="AJ87" s="46"/>
      <c r="BA87" s="52"/>
      <c r="BB87" s="52"/>
    </row>
    <row r="88">
      <c r="A88" s="46"/>
      <c r="D88" s="53"/>
      <c r="F88" s="48"/>
      <c r="G88" s="48"/>
      <c r="H88" s="49"/>
      <c r="K88" s="46"/>
      <c r="O88" s="46"/>
      <c r="U88" s="46"/>
      <c r="AC88" s="10">
        <v>24.0</v>
      </c>
      <c r="AD88" s="11" t="s">
        <v>35</v>
      </c>
      <c r="AE88" s="11" t="s">
        <v>36</v>
      </c>
      <c r="AF88" s="45" t="s">
        <v>50</v>
      </c>
      <c r="AG88" s="45">
        <v>5.0</v>
      </c>
      <c r="AH88" s="11"/>
      <c r="AJ88" s="46"/>
      <c r="BA88" s="52"/>
      <c r="BB88" s="52"/>
    </row>
    <row r="89">
      <c r="A89" s="46"/>
      <c r="D89" s="53"/>
      <c r="F89" s="48"/>
      <c r="G89" s="48"/>
      <c r="H89" s="49"/>
      <c r="K89" s="46"/>
      <c r="O89" s="46"/>
      <c r="U89" s="46"/>
      <c r="AC89" s="10">
        <v>24.0</v>
      </c>
      <c r="AD89" s="11" t="s">
        <v>35</v>
      </c>
      <c r="AE89" s="11" t="s">
        <v>36</v>
      </c>
      <c r="AF89" s="45" t="s">
        <v>37</v>
      </c>
      <c r="AG89" s="45">
        <v>-5.0</v>
      </c>
      <c r="AH89" s="11"/>
      <c r="AJ89" s="46"/>
      <c r="BA89" s="52"/>
      <c r="BB89" s="52"/>
    </row>
    <row r="90">
      <c r="A90" s="46"/>
      <c r="D90" s="53"/>
      <c r="F90" s="48"/>
      <c r="G90" s="48"/>
      <c r="H90" s="49"/>
      <c r="K90" s="46"/>
      <c r="O90" s="46"/>
      <c r="U90" s="46"/>
      <c r="AC90" s="10">
        <v>24.0</v>
      </c>
      <c r="AD90" s="11" t="s">
        <v>61</v>
      </c>
      <c r="AE90" s="11" t="s">
        <v>36</v>
      </c>
      <c r="AF90" s="45" t="s">
        <v>37</v>
      </c>
      <c r="AG90" s="45">
        <v>5.0</v>
      </c>
      <c r="AH90" s="11"/>
      <c r="AJ90" s="46"/>
      <c r="BA90" s="52"/>
      <c r="BB90" s="52"/>
    </row>
    <row r="91">
      <c r="A91" s="46"/>
      <c r="D91" s="53"/>
      <c r="F91" s="48"/>
      <c r="G91" s="48"/>
      <c r="H91" s="49"/>
      <c r="K91" s="46"/>
      <c r="O91" s="46"/>
      <c r="U91" s="46"/>
      <c r="AC91" s="10">
        <v>24.0</v>
      </c>
      <c r="AD91" s="11" t="s">
        <v>61</v>
      </c>
      <c r="AE91" s="11" t="s">
        <v>36</v>
      </c>
      <c r="AF91" s="45" t="s">
        <v>388</v>
      </c>
      <c r="AG91" s="45">
        <v>1.0</v>
      </c>
      <c r="AH91" s="11"/>
      <c r="AJ91" s="46"/>
      <c r="BA91" s="52"/>
      <c r="BB91" s="52"/>
    </row>
    <row r="92">
      <c r="A92" s="46"/>
      <c r="D92" s="53"/>
      <c r="F92" s="48"/>
      <c r="G92" s="48"/>
      <c r="H92" s="49"/>
      <c r="K92" s="46"/>
      <c r="O92" s="46"/>
      <c r="U92" s="46"/>
      <c r="AC92" s="24">
        <v>25.0</v>
      </c>
      <c r="AD92" s="25" t="s">
        <v>35</v>
      </c>
      <c r="AE92" s="25" t="s">
        <v>36</v>
      </c>
      <c r="AF92" s="51" t="s">
        <v>50</v>
      </c>
      <c r="AG92" s="51">
        <v>10.0</v>
      </c>
      <c r="AH92" s="25"/>
      <c r="AJ92" s="46"/>
      <c r="BA92" s="52"/>
      <c r="BB92" s="52"/>
    </row>
    <row r="93">
      <c r="A93" s="46"/>
      <c r="D93" s="53"/>
      <c r="F93" s="48"/>
      <c r="G93" s="48"/>
      <c r="H93" s="49"/>
      <c r="K93" s="46"/>
      <c r="O93" s="46"/>
      <c r="U93" s="46"/>
      <c r="AC93" s="10">
        <v>25.0</v>
      </c>
      <c r="AD93" s="11" t="s">
        <v>35</v>
      </c>
      <c r="AE93" s="11" t="s">
        <v>36</v>
      </c>
      <c r="AF93" s="45" t="s">
        <v>162</v>
      </c>
      <c r="AG93" s="45">
        <v>-5.0</v>
      </c>
      <c r="AH93" s="11"/>
      <c r="AJ93" s="46"/>
      <c r="BA93" s="52"/>
      <c r="BB93" s="52"/>
    </row>
    <row r="94">
      <c r="A94" s="46"/>
      <c r="D94" s="53"/>
      <c r="F94" s="48"/>
      <c r="G94" s="48"/>
      <c r="H94" s="49"/>
      <c r="K94" s="46"/>
      <c r="O94" s="46"/>
      <c r="U94" s="46"/>
      <c r="AC94" s="10">
        <v>25.0</v>
      </c>
      <c r="AD94" s="11" t="s">
        <v>61</v>
      </c>
      <c r="AE94" s="11" t="s">
        <v>36</v>
      </c>
      <c r="AF94" s="45" t="s">
        <v>162</v>
      </c>
      <c r="AG94" s="45">
        <v>5.0</v>
      </c>
      <c r="AH94" s="11"/>
      <c r="AJ94" s="46"/>
      <c r="BA94" s="52"/>
      <c r="BB94" s="52"/>
    </row>
    <row r="95">
      <c r="A95" s="46"/>
      <c r="D95" s="53"/>
      <c r="F95" s="48"/>
      <c r="G95" s="48"/>
      <c r="H95" s="49"/>
      <c r="K95" s="46"/>
      <c r="O95" s="46"/>
      <c r="U95" s="46"/>
      <c r="AC95" s="10">
        <v>25.0</v>
      </c>
      <c r="AD95" s="11" t="s">
        <v>61</v>
      </c>
      <c r="AE95" s="11" t="s">
        <v>36</v>
      </c>
      <c r="AF95" s="45" t="s">
        <v>50</v>
      </c>
      <c r="AG95" s="45">
        <v>-10.0</v>
      </c>
      <c r="AH95" s="11"/>
      <c r="AJ95" s="46"/>
      <c r="BA95" s="52"/>
      <c r="BB95" s="52"/>
    </row>
    <row r="96">
      <c r="A96" s="46"/>
      <c r="D96" s="53"/>
      <c r="F96" s="48"/>
      <c r="G96" s="48"/>
      <c r="H96" s="49"/>
      <c r="K96" s="46"/>
      <c r="O96" s="46"/>
      <c r="U96" s="46"/>
      <c r="AC96" s="10">
        <v>26.0</v>
      </c>
      <c r="AD96" s="11" t="s">
        <v>35</v>
      </c>
      <c r="AE96" s="11" t="s">
        <v>36</v>
      </c>
      <c r="AF96" s="45" t="s">
        <v>72</v>
      </c>
      <c r="AG96" s="45">
        <v>5.0</v>
      </c>
      <c r="AH96" s="11"/>
      <c r="AJ96" s="46"/>
      <c r="BA96" s="52"/>
      <c r="BB96" s="52"/>
    </row>
    <row r="97">
      <c r="A97" s="46"/>
      <c r="D97" s="53"/>
      <c r="F97" s="48"/>
      <c r="G97" s="48"/>
      <c r="H97" s="49"/>
      <c r="K97" s="46"/>
      <c r="O97" s="46"/>
      <c r="U97" s="46"/>
      <c r="AC97" s="10">
        <v>26.0</v>
      </c>
      <c r="AD97" s="11" t="s">
        <v>35</v>
      </c>
      <c r="AE97" s="11" t="s">
        <v>36</v>
      </c>
      <c r="AF97" s="45" t="s">
        <v>37</v>
      </c>
      <c r="AG97" s="45">
        <v>-5.0</v>
      </c>
      <c r="AH97" s="11"/>
      <c r="AJ97" s="46"/>
      <c r="BA97" s="52"/>
      <c r="BB97" s="52"/>
    </row>
    <row r="98">
      <c r="A98" s="46"/>
      <c r="D98" s="53"/>
      <c r="F98" s="48"/>
      <c r="G98" s="48"/>
      <c r="H98" s="49"/>
      <c r="K98" s="46"/>
      <c r="O98" s="46"/>
      <c r="U98" s="46"/>
      <c r="AC98" s="10">
        <v>26.0</v>
      </c>
      <c r="AD98" s="11" t="s">
        <v>61</v>
      </c>
      <c r="AE98" s="11" t="s">
        <v>36</v>
      </c>
      <c r="AF98" s="45" t="s">
        <v>37</v>
      </c>
      <c r="AG98" s="54">
        <f>10</f>
        <v>10</v>
      </c>
      <c r="AH98" s="11"/>
      <c r="AJ98" s="46"/>
      <c r="BA98" s="52"/>
      <c r="BB98" s="52"/>
    </row>
    <row r="99">
      <c r="A99" s="46"/>
      <c r="D99" s="53"/>
      <c r="F99" s="48"/>
      <c r="G99" s="48"/>
      <c r="H99" s="49"/>
      <c r="K99" s="46"/>
      <c r="O99" s="46"/>
      <c r="U99" s="46"/>
      <c r="AC99" s="10">
        <v>26.0</v>
      </c>
      <c r="AD99" s="11" t="s">
        <v>61</v>
      </c>
      <c r="AE99" s="11" t="s">
        <v>36</v>
      </c>
      <c r="AF99" s="45" t="s">
        <v>50</v>
      </c>
      <c r="AG99" s="45">
        <v>-5.0</v>
      </c>
      <c r="AH99" s="11"/>
      <c r="AJ99" s="46"/>
      <c r="BA99" s="52"/>
      <c r="BB99" s="52"/>
    </row>
    <row r="100">
      <c r="A100" s="46"/>
      <c r="D100" s="53"/>
      <c r="F100" s="48"/>
      <c r="G100" s="48"/>
      <c r="H100" s="49"/>
      <c r="K100" s="46"/>
      <c r="O100" s="46"/>
      <c r="U100" s="46"/>
      <c r="AC100" s="10">
        <v>27.0</v>
      </c>
      <c r="AD100" s="11" t="s">
        <v>35</v>
      </c>
      <c r="AE100" s="11" t="s">
        <v>36</v>
      </c>
      <c r="AF100" s="45" t="s">
        <v>37</v>
      </c>
      <c r="AG100" s="45">
        <v>10.0</v>
      </c>
      <c r="AH100" s="11"/>
      <c r="AJ100" s="46"/>
      <c r="BA100" s="52"/>
      <c r="BB100" s="52"/>
    </row>
    <row r="101">
      <c r="A101" s="46"/>
      <c r="D101" s="53"/>
      <c r="F101" s="48"/>
      <c r="G101" s="48"/>
      <c r="H101" s="49"/>
      <c r="K101" s="46"/>
      <c r="O101" s="46"/>
      <c r="U101" s="46"/>
      <c r="AC101" s="10">
        <v>27.0</v>
      </c>
      <c r="AD101" s="11" t="s">
        <v>35</v>
      </c>
      <c r="AE101" s="11" t="s">
        <v>36</v>
      </c>
      <c r="AF101" s="45" t="s">
        <v>162</v>
      </c>
      <c r="AG101" s="45">
        <v>-15.0</v>
      </c>
      <c r="AH101" s="11"/>
      <c r="AJ101" s="46"/>
      <c r="BA101" s="52"/>
      <c r="BB101" s="52"/>
    </row>
    <row r="102">
      <c r="A102" s="46"/>
      <c r="D102" s="53"/>
      <c r="F102" s="48"/>
      <c r="G102" s="48"/>
      <c r="H102" s="49"/>
      <c r="K102" s="46"/>
      <c r="O102" s="46"/>
      <c r="U102" s="46"/>
      <c r="AC102" s="10">
        <v>27.0</v>
      </c>
      <c r="AD102" s="11" t="s">
        <v>61</v>
      </c>
      <c r="AE102" s="11" t="s">
        <v>36</v>
      </c>
      <c r="AF102" s="45" t="s">
        <v>162</v>
      </c>
      <c r="AG102" s="45">
        <v>5.0</v>
      </c>
      <c r="AH102" s="11"/>
      <c r="AJ102" s="46"/>
      <c r="BA102" s="52"/>
      <c r="BB102" s="52"/>
    </row>
    <row r="103">
      <c r="A103" s="46"/>
      <c r="D103" s="53"/>
      <c r="F103" s="48"/>
      <c r="G103" s="48"/>
      <c r="H103" s="49"/>
      <c r="K103" s="46"/>
      <c r="O103" s="46"/>
      <c r="U103" s="46"/>
      <c r="AC103" s="10">
        <v>27.0</v>
      </c>
      <c r="AD103" s="11" t="s">
        <v>61</v>
      </c>
      <c r="AE103" s="11" t="s">
        <v>36</v>
      </c>
      <c r="AF103" s="45" t="s">
        <v>50</v>
      </c>
      <c r="AG103" s="45">
        <v>-5.0</v>
      </c>
      <c r="AH103" s="11"/>
      <c r="AJ103" s="46"/>
      <c r="BA103" s="52"/>
      <c r="BB103" s="52"/>
    </row>
    <row r="104">
      <c r="A104" s="46"/>
      <c r="D104" s="53"/>
      <c r="F104" s="48"/>
      <c r="G104" s="48"/>
      <c r="H104" s="49"/>
      <c r="K104" s="46"/>
      <c r="O104" s="46"/>
      <c r="U104" s="46"/>
      <c r="AC104" s="10">
        <v>28.0</v>
      </c>
      <c r="AD104" s="11" t="s">
        <v>35</v>
      </c>
      <c r="AE104" s="11" t="s">
        <v>36</v>
      </c>
      <c r="AF104" s="45" t="s">
        <v>37</v>
      </c>
      <c r="AG104" s="45">
        <v>-10.0</v>
      </c>
      <c r="AH104" s="11"/>
      <c r="AJ104" s="46"/>
      <c r="BA104" s="52"/>
      <c r="BB104" s="52"/>
    </row>
    <row r="105">
      <c r="A105" s="46"/>
      <c r="D105" s="53"/>
      <c r="F105" s="48"/>
      <c r="G105" s="48"/>
      <c r="H105" s="49"/>
      <c r="K105" s="46"/>
      <c r="O105" s="46"/>
      <c r="U105" s="46"/>
      <c r="AC105" s="10">
        <v>28.0</v>
      </c>
      <c r="AD105" s="11" t="s">
        <v>35</v>
      </c>
      <c r="AE105" s="11" t="s">
        <v>36</v>
      </c>
      <c r="AF105" s="45" t="s">
        <v>50</v>
      </c>
      <c r="AG105" s="45">
        <v>10.0</v>
      </c>
      <c r="AH105" s="11"/>
      <c r="AJ105" s="46"/>
      <c r="BA105" s="52"/>
      <c r="BB105" s="52"/>
    </row>
    <row r="106">
      <c r="A106" s="46"/>
      <c r="D106" s="53"/>
      <c r="F106" s="48"/>
      <c r="G106" s="48"/>
      <c r="H106" s="49"/>
      <c r="K106" s="46"/>
      <c r="O106" s="46"/>
      <c r="U106" s="46"/>
      <c r="AC106" s="10">
        <v>28.0</v>
      </c>
      <c r="AD106" s="11" t="s">
        <v>61</v>
      </c>
      <c r="AE106" s="11" t="s">
        <v>36</v>
      </c>
      <c r="AF106" s="45" t="s">
        <v>37</v>
      </c>
      <c r="AG106" s="45">
        <v>10.0</v>
      </c>
      <c r="AH106" s="11"/>
      <c r="AJ106" s="46"/>
      <c r="BA106" s="52"/>
      <c r="BB106" s="52"/>
    </row>
    <row r="107">
      <c r="A107" s="46"/>
      <c r="D107" s="53"/>
      <c r="F107" s="48"/>
      <c r="G107" s="48"/>
      <c r="H107" s="49"/>
      <c r="K107" s="46"/>
      <c r="O107" s="46"/>
      <c r="U107" s="46"/>
      <c r="AC107" s="10">
        <v>29.0</v>
      </c>
      <c r="AD107" s="11" t="s">
        <v>35</v>
      </c>
      <c r="AE107" s="11" t="s">
        <v>36</v>
      </c>
      <c r="AF107" s="11" t="s">
        <v>37</v>
      </c>
      <c r="AG107" s="11">
        <v>-10.0</v>
      </c>
      <c r="AH107" s="11"/>
      <c r="AJ107" s="46"/>
      <c r="BA107" s="52"/>
      <c r="BB107" s="52"/>
    </row>
    <row r="108">
      <c r="A108" s="46"/>
      <c r="D108" s="53"/>
      <c r="F108" s="48"/>
      <c r="G108" s="48"/>
      <c r="H108" s="49"/>
      <c r="K108" s="46"/>
      <c r="O108" s="46"/>
      <c r="U108" s="46"/>
      <c r="AC108" s="10">
        <v>29.0</v>
      </c>
      <c r="AD108" s="11" t="s">
        <v>35</v>
      </c>
      <c r="AE108" s="11" t="s">
        <v>36</v>
      </c>
      <c r="AF108" s="11" t="s">
        <v>50</v>
      </c>
      <c r="AG108" s="11">
        <v>5.0</v>
      </c>
      <c r="AH108" s="11"/>
      <c r="AJ108" s="46"/>
      <c r="BA108" s="52"/>
      <c r="BB108" s="52"/>
    </row>
    <row r="109">
      <c r="A109" s="46"/>
      <c r="D109" s="53"/>
      <c r="F109" s="48"/>
      <c r="G109" s="48"/>
      <c r="H109" s="49"/>
      <c r="K109" s="46"/>
      <c r="O109" s="46"/>
      <c r="U109" s="46"/>
      <c r="AC109" s="10">
        <v>29.0</v>
      </c>
      <c r="AD109" s="11" t="s">
        <v>61</v>
      </c>
      <c r="AE109" s="11" t="s">
        <v>36</v>
      </c>
      <c r="AF109" s="11" t="s">
        <v>162</v>
      </c>
      <c r="AG109" s="11">
        <v>15.0</v>
      </c>
      <c r="AH109" s="11"/>
      <c r="AJ109" s="46"/>
      <c r="BA109" s="52"/>
      <c r="BB109" s="52"/>
    </row>
    <row r="110">
      <c r="A110" s="46"/>
      <c r="D110" s="53"/>
      <c r="F110" s="48"/>
      <c r="G110" s="48"/>
      <c r="H110" s="49"/>
      <c r="K110" s="46"/>
      <c r="O110" s="46"/>
      <c r="U110" s="46"/>
      <c r="AC110" s="10">
        <v>29.0</v>
      </c>
      <c r="AD110" s="11" t="s">
        <v>61</v>
      </c>
      <c r="AE110" s="11" t="s">
        <v>36</v>
      </c>
      <c r="AF110" s="11" t="s">
        <v>50</v>
      </c>
      <c r="AG110" s="11">
        <v>-20.0</v>
      </c>
      <c r="AH110" s="11"/>
      <c r="AJ110" s="46"/>
      <c r="BA110" s="52"/>
      <c r="BB110" s="52"/>
    </row>
    <row r="111">
      <c r="A111" s="46"/>
      <c r="D111" s="53"/>
      <c r="F111" s="48"/>
      <c r="G111" s="48"/>
      <c r="H111" s="49"/>
      <c r="K111" s="46"/>
      <c r="O111" s="46"/>
      <c r="U111" s="46"/>
      <c r="AC111" s="24">
        <v>30.0</v>
      </c>
      <c r="AD111" s="25" t="s">
        <v>35</v>
      </c>
      <c r="AE111" s="25" t="s">
        <v>36</v>
      </c>
      <c r="AF111" s="25" t="s">
        <v>72</v>
      </c>
      <c r="AG111" s="25">
        <v>10.0</v>
      </c>
      <c r="AH111" s="25"/>
      <c r="AJ111" s="46"/>
      <c r="BA111" s="52"/>
      <c r="BB111" s="52"/>
    </row>
    <row r="112">
      <c r="A112" s="46"/>
      <c r="D112" s="53"/>
      <c r="F112" s="48"/>
      <c r="G112" s="48"/>
      <c r="H112" s="49"/>
      <c r="K112" s="46"/>
      <c r="O112" s="46"/>
      <c r="U112" s="46"/>
      <c r="AC112" s="10">
        <v>30.0</v>
      </c>
      <c r="AD112" s="11" t="s">
        <v>35</v>
      </c>
      <c r="AE112" s="11" t="s">
        <v>36</v>
      </c>
      <c r="AF112" s="11" t="s">
        <v>50</v>
      </c>
      <c r="AG112" s="11">
        <v>-10.0</v>
      </c>
      <c r="AH112" s="11"/>
      <c r="AJ112" s="46"/>
      <c r="BA112" s="52"/>
      <c r="BB112" s="52"/>
    </row>
    <row r="113">
      <c r="A113" s="46"/>
      <c r="D113" s="53"/>
      <c r="F113" s="48"/>
      <c r="G113" s="48"/>
      <c r="H113" s="49"/>
      <c r="K113" s="46"/>
      <c r="O113" s="46"/>
      <c r="U113" s="46"/>
      <c r="AC113" s="10">
        <v>30.0</v>
      </c>
      <c r="AD113" s="11" t="s">
        <v>61</v>
      </c>
      <c r="AE113" s="11" t="s">
        <v>36</v>
      </c>
      <c r="AF113" s="11" t="s">
        <v>50</v>
      </c>
      <c r="AG113" s="11">
        <v>10.0</v>
      </c>
      <c r="AH113" s="11"/>
      <c r="AJ113" s="46"/>
      <c r="BA113" s="52"/>
      <c r="BB113" s="52"/>
    </row>
    <row r="114">
      <c r="A114" s="46"/>
      <c r="D114" s="53"/>
      <c r="F114" s="48"/>
      <c r="G114" s="48"/>
      <c r="H114" s="49"/>
      <c r="K114" s="46"/>
      <c r="O114" s="46"/>
      <c r="U114" s="46"/>
      <c r="AC114" s="55">
        <v>31.0</v>
      </c>
      <c r="AD114" s="11" t="s">
        <v>35</v>
      </c>
      <c r="AE114" s="11" t="s">
        <v>36</v>
      </c>
      <c r="AF114" s="11" t="s">
        <v>162</v>
      </c>
      <c r="AG114" s="11">
        <v>5.0</v>
      </c>
      <c r="AH114" s="11"/>
      <c r="AJ114" s="46"/>
      <c r="BA114" s="52"/>
      <c r="BB114" s="52"/>
    </row>
    <row r="115">
      <c r="A115" s="46"/>
      <c r="D115" s="53"/>
      <c r="F115" s="48"/>
      <c r="G115" s="48"/>
      <c r="H115" s="49"/>
      <c r="K115" s="46"/>
      <c r="O115" s="46"/>
      <c r="U115" s="46"/>
      <c r="AC115" s="55">
        <v>31.0</v>
      </c>
      <c r="AD115" s="11" t="s">
        <v>35</v>
      </c>
      <c r="AE115" s="11" t="s">
        <v>36</v>
      </c>
      <c r="AF115" s="11" t="s">
        <v>50</v>
      </c>
      <c r="AG115" s="11">
        <v>-10.0</v>
      </c>
      <c r="AH115" s="11"/>
      <c r="AJ115" s="46"/>
      <c r="BA115" s="52"/>
      <c r="BB115" s="52"/>
    </row>
    <row r="116">
      <c r="A116" s="46"/>
      <c r="D116" s="53"/>
      <c r="F116" s="48"/>
      <c r="G116" s="48"/>
      <c r="H116" s="49"/>
      <c r="K116" s="46"/>
      <c r="O116" s="46"/>
      <c r="U116" s="46"/>
      <c r="AC116" s="55">
        <v>31.0</v>
      </c>
      <c r="AD116" s="11" t="s">
        <v>61</v>
      </c>
      <c r="AE116" s="11" t="s">
        <v>36</v>
      </c>
      <c r="AF116" s="11" t="s">
        <v>50</v>
      </c>
      <c r="AG116" s="11">
        <v>10.0</v>
      </c>
      <c r="AH116" s="11"/>
      <c r="AJ116" s="46"/>
      <c r="BA116" s="52"/>
      <c r="BB116" s="52"/>
    </row>
    <row r="117">
      <c r="A117" s="46"/>
      <c r="D117" s="53"/>
      <c r="F117" s="48"/>
      <c r="G117" s="48"/>
      <c r="H117" s="49"/>
      <c r="K117" s="46"/>
      <c r="O117" s="46"/>
      <c r="U117" s="46"/>
      <c r="AC117" s="55">
        <v>31.0</v>
      </c>
      <c r="AD117" s="11" t="s">
        <v>617</v>
      </c>
      <c r="AE117" s="11" t="s">
        <v>613</v>
      </c>
      <c r="AF117" s="11" t="s">
        <v>618</v>
      </c>
      <c r="AG117" s="11">
        <v>1.0</v>
      </c>
      <c r="AH117" s="11"/>
      <c r="AJ117" s="46"/>
      <c r="BA117" s="52"/>
      <c r="BB117" s="52"/>
    </row>
    <row r="118">
      <c r="A118" s="46"/>
      <c r="D118" s="53"/>
      <c r="F118" s="48"/>
      <c r="G118" s="48"/>
      <c r="H118" s="49"/>
      <c r="K118" s="46"/>
      <c r="O118" s="46"/>
      <c r="U118" s="46"/>
      <c r="AC118" s="55">
        <v>32.0</v>
      </c>
      <c r="AD118" s="11" t="s">
        <v>35</v>
      </c>
      <c r="AE118" s="11" t="s">
        <v>36</v>
      </c>
      <c r="AF118" s="11" t="s">
        <v>162</v>
      </c>
      <c r="AG118" s="11">
        <v>5.0</v>
      </c>
      <c r="AH118" s="11"/>
      <c r="AJ118" s="46"/>
      <c r="BA118" s="52"/>
      <c r="BB118" s="52"/>
    </row>
    <row r="119">
      <c r="A119" s="46"/>
      <c r="D119" s="53"/>
      <c r="F119" s="48"/>
      <c r="G119" s="48"/>
      <c r="H119" s="49"/>
      <c r="K119" s="46"/>
      <c r="O119" s="46"/>
      <c r="U119" s="46"/>
      <c r="AC119" s="55">
        <v>32.0</v>
      </c>
      <c r="AD119" s="11" t="s">
        <v>35</v>
      </c>
      <c r="AE119" s="11" t="s">
        <v>36</v>
      </c>
      <c r="AF119" s="11" t="s">
        <v>50</v>
      </c>
      <c r="AG119" s="11">
        <v>-15.0</v>
      </c>
      <c r="AH119" s="11"/>
      <c r="AJ119" s="46"/>
      <c r="BA119" s="52"/>
      <c r="BB119" s="52"/>
    </row>
    <row r="120">
      <c r="A120" s="46"/>
      <c r="D120" s="53"/>
      <c r="F120" s="48"/>
      <c r="G120" s="48"/>
      <c r="H120" s="49"/>
      <c r="K120" s="46"/>
      <c r="O120" s="46"/>
      <c r="U120" s="46"/>
      <c r="AC120" s="55">
        <v>32.0</v>
      </c>
      <c r="AD120" s="11" t="s">
        <v>61</v>
      </c>
      <c r="AE120" s="11" t="s">
        <v>36</v>
      </c>
      <c r="AF120" s="11" t="s">
        <v>162</v>
      </c>
      <c r="AG120" s="11">
        <v>-10.0</v>
      </c>
      <c r="AH120" s="11"/>
      <c r="AJ120" s="46"/>
      <c r="BA120" s="52"/>
      <c r="BB120" s="52"/>
    </row>
    <row r="121">
      <c r="A121" s="46"/>
      <c r="D121" s="53"/>
      <c r="F121" s="48"/>
      <c r="G121" s="48"/>
      <c r="H121" s="49"/>
      <c r="K121" s="46"/>
      <c r="O121" s="46"/>
      <c r="U121" s="46"/>
      <c r="AC121" s="55">
        <v>32.0</v>
      </c>
      <c r="AD121" s="11" t="s">
        <v>61</v>
      </c>
      <c r="AE121" s="11" t="s">
        <v>36</v>
      </c>
      <c r="AF121" s="11" t="s">
        <v>50</v>
      </c>
      <c r="AG121" s="11">
        <v>15.0</v>
      </c>
      <c r="AH121" s="11"/>
      <c r="AJ121" s="46"/>
      <c r="BA121" s="52"/>
      <c r="BB121" s="52"/>
    </row>
    <row r="122">
      <c r="A122" s="46"/>
      <c r="D122" s="53"/>
      <c r="F122" s="48"/>
      <c r="G122" s="48"/>
      <c r="H122" s="49"/>
      <c r="K122" s="46"/>
      <c r="O122" s="46"/>
      <c r="U122" s="46"/>
      <c r="AC122" s="55">
        <v>32.0</v>
      </c>
      <c r="AD122" s="11" t="s">
        <v>617</v>
      </c>
      <c r="AE122" s="11" t="s">
        <v>613</v>
      </c>
      <c r="AF122" s="11" t="s">
        <v>618</v>
      </c>
      <c r="AG122" s="11">
        <v>2.0</v>
      </c>
      <c r="AH122" s="11"/>
      <c r="AJ122" s="46"/>
      <c r="BA122" s="52"/>
      <c r="BB122" s="52"/>
    </row>
    <row r="123">
      <c r="A123" s="46"/>
      <c r="D123" s="53"/>
      <c r="F123" s="48"/>
      <c r="G123" s="48"/>
      <c r="H123" s="49"/>
      <c r="K123" s="46"/>
      <c r="O123" s="46"/>
      <c r="U123" s="46"/>
      <c r="AC123" s="55">
        <v>33.0</v>
      </c>
      <c r="AD123" s="11" t="s">
        <v>35</v>
      </c>
      <c r="AE123" s="11" t="s">
        <v>36</v>
      </c>
      <c r="AF123" s="11" t="s">
        <v>37</v>
      </c>
      <c r="AG123" s="11">
        <v>30.0</v>
      </c>
      <c r="AH123" s="11"/>
      <c r="AJ123" s="46"/>
      <c r="BA123" s="52"/>
      <c r="BB123" s="52"/>
    </row>
    <row r="124">
      <c r="A124" s="46"/>
      <c r="D124" s="53"/>
      <c r="F124" s="48"/>
      <c r="G124" s="48"/>
      <c r="H124" s="49"/>
      <c r="K124" s="46"/>
      <c r="O124" s="46"/>
      <c r="U124" s="46"/>
      <c r="AC124" s="55">
        <v>33.0</v>
      </c>
      <c r="AD124" s="11" t="s">
        <v>35</v>
      </c>
      <c r="AE124" s="11" t="s">
        <v>36</v>
      </c>
      <c r="AF124" s="56" t="s">
        <v>619</v>
      </c>
      <c r="AG124" s="11">
        <v>20.0</v>
      </c>
      <c r="AH124" s="11"/>
      <c r="AJ124" s="46"/>
      <c r="BA124" s="52"/>
      <c r="BB124" s="52"/>
    </row>
    <row r="125">
      <c r="A125" s="46"/>
      <c r="D125" s="53"/>
      <c r="F125" s="48"/>
      <c r="G125" s="48"/>
      <c r="H125" s="49"/>
      <c r="K125" s="46"/>
      <c r="O125" s="46"/>
      <c r="U125" s="46"/>
      <c r="AC125" s="55">
        <v>33.0</v>
      </c>
      <c r="AD125" s="11" t="s">
        <v>61</v>
      </c>
      <c r="AE125" s="11" t="s">
        <v>36</v>
      </c>
      <c r="AF125" s="11" t="s">
        <v>162</v>
      </c>
      <c r="AG125" s="11">
        <v>5.0</v>
      </c>
      <c r="AH125" s="11"/>
      <c r="AJ125" s="46"/>
      <c r="BA125" s="52"/>
      <c r="BB125" s="52"/>
    </row>
    <row r="126">
      <c r="A126" s="46"/>
      <c r="D126" s="53"/>
      <c r="F126" s="48"/>
      <c r="G126" s="48"/>
      <c r="H126" s="49"/>
      <c r="K126" s="46"/>
      <c r="O126" s="46"/>
      <c r="U126" s="46"/>
      <c r="AC126" s="55">
        <v>33.0</v>
      </c>
      <c r="AD126" s="11" t="s">
        <v>617</v>
      </c>
      <c r="AE126" s="11" t="s">
        <v>613</v>
      </c>
      <c r="AF126" s="11" t="s">
        <v>618</v>
      </c>
      <c r="AG126" s="11">
        <v>3.0</v>
      </c>
      <c r="AH126" s="11"/>
      <c r="AJ126" s="46"/>
      <c r="BA126" s="52"/>
      <c r="BB126" s="52"/>
    </row>
    <row r="127">
      <c r="A127" s="46"/>
      <c r="D127" s="53"/>
      <c r="F127" s="48"/>
      <c r="G127" s="48"/>
      <c r="H127" s="49"/>
      <c r="K127" s="46"/>
      <c r="O127" s="46"/>
      <c r="U127" s="46"/>
      <c r="AC127" s="55">
        <v>34.0</v>
      </c>
      <c r="AD127" s="11" t="s">
        <v>35</v>
      </c>
      <c r="AE127" s="11" t="s">
        <v>36</v>
      </c>
      <c r="AF127" s="11" t="s">
        <v>50</v>
      </c>
      <c r="AG127" s="11">
        <v>15.0</v>
      </c>
      <c r="AH127" s="11"/>
      <c r="AJ127" s="46"/>
      <c r="BA127" s="52"/>
      <c r="BB127" s="52"/>
    </row>
    <row r="128">
      <c r="A128" s="46"/>
      <c r="D128" s="53"/>
      <c r="F128" s="48"/>
      <c r="G128" s="48"/>
      <c r="H128" s="49"/>
      <c r="K128" s="46"/>
      <c r="O128" s="46"/>
      <c r="U128" s="46"/>
      <c r="AC128" s="55">
        <v>34.0</v>
      </c>
      <c r="AD128" s="11" t="s">
        <v>35</v>
      </c>
      <c r="AE128" s="11" t="s">
        <v>36</v>
      </c>
      <c r="AF128" s="11" t="s">
        <v>162</v>
      </c>
      <c r="AG128" s="11">
        <v>-15.0</v>
      </c>
      <c r="AH128" s="11"/>
      <c r="AJ128" s="46"/>
      <c r="BA128" s="52"/>
      <c r="BB128" s="52"/>
    </row>
    <row r="129">
      <c r="A129" s="46"/>
      <c r="D129" s="53"/>
      <c r="F129" s="48"/>
      <c r="G129" s="48"/>
      <c r="H129" s="49"/>
      <c r="K129" s="46"/>
      <c r="O129" s="46"/>
      <c r="U129" s="46"/>
      <c r="AC129" s="55">
        <v>34.0</v>
      </c>
      <c r="AD129" s="11" t="s">
        <v>61</v>
      </c>
      <c r="AE129" s="11" t="s">
        <v>36</v>
      </c>
      <c r="AF129" s="11" t="s">
        <v>37</v>
      </c>
      <c r="AG129" s="11">
        <v>15.0</v>
      </c>
      <c r="AH129" s="11"/>
      <c r="AJ129" s="46"/>
      <c r="BA129" s="52"/>
      <c r="BB129" s="52"/>
    </row>
    <row r="130">
      <c r="A130" s="46"/>
      <c r="D130" s="53"/>
      <c r="F130" s="48"/>
      <c r="G130" s="48"/>
      <c r="H130" s="49"/>
      <c r="K130" s="46"/>
      <c r="O130" s="46"/>
      <c r="U130" s="46"/>
      <c r="AC130" s="55">
        <v>34.0</v>
      </c>
      <c r="AD130" s="11" t="s">
        <v>617</v>
      </c>
      <c r="AE130" s="11" t="s">
        <v>613</v>
      </c>
      <c r="AF130" s="11" t="s">
        <v>618</v>
      </c>
      <c r="AG130" s="11">
        <v>4.0</v>
      </c>
      <c r="AH130" s="11"/>
      <c r="AJ130" s="46"/>
      <c r="BA130" s="52"/>
      <c r="BB130" s="52"/>
    </row>
    <row r="131">
      <c r="A131" s="46"/>
      <c r="D131" s="53"/>
      <c r="F131" s="48"/>
      <c r="G131" s="48"/>
      <c r="H131" s="49"/>
      <c r="K131" s="46"/>
      <c r="O131" s="46"/>
      <c r="U131" s="46"/>
      <c r="AC131" s="55">
        <v>35.0</v>
      </c>
      <c r="AD131" s="25" t="s">
        <v>35</v>
      </c>
      <c r="AE131" s="57" t="s">
        <v>613</v>
      </c>
      <c r="AF131" s="58" t="s">
        <v>620</v>
      </c>
      <c r="AG131" s="25"/>
      <c r="AH131" s="24" t="s">
        <v>621</v>
      </c>
      <c r="AJ131" s="46"/>
      <c r="BA131" s="52"/>
      <c r="BB131" s="52"/>
    </row>
    <row r="132">
      <c r="A132" s="46"/>
      <c r="D132" s="53"/>
      <c r="F132" s="48"/>
      <c r="G132" s="48"/>
      <c r="H132" s="49"/>
      <c r="K132" s="46"/>
      <c r="O132" s="46"/>
      <c r="U132" s="46"/>
      <c r="AC132" s="55">
        <v>35.0</v>
      </c>
      <c r="AD132" s="11" t="s">
        <v>61</v>
      </c>
      <c r="AE132" s="11" t="s">
        <v>36</v>
      </c>
      <c r="AF132" s="11" t="s">
        <v>50</v>
      </c>
      <c r="AG132" s="11">
        <v>10.0</v>
      </c>
      <c r="AH132" s="11"/>
      <c r="AJ132" s="46"/>
      <c r="BA132" s="52"/>
      <c r="BB132" s="52"/>
    </row>
    <row r="133">
      <c r="A133" s="46"/>
      <c r="D133" s="53"/>
      <c r="F133" s="48"/>
      <c r="G133" s="48"/>
      <c r="H133" s="49"/>
      <c r="K133" s="46"/>
      <c r="O133" s="46"/>
      <c r="U133" s="46"/>
      <c r="AC133" s="55">
        <v>35.0</v>
      </c>
      <c r="AD133" s="11" t="s">
        <v>61</v>
      </c>
      <c r="AE133" s="11" t="s">
        <v>36</v>
      </c>
      <c r="AF133" s="11" t="s">
        <v>162</v>
      </c>
      <c r="AG133" s="11">
        <v>-10.0</v>
      </c>
      <c r="AH133" s="11"/>
      <c r="AJ133" s="46"/>
      <c r="BA133" s="52"/>
      <c r="BB133" s="52"/>
    </row>
    <row r="134">
      <c r="A134" s="46"/>
      <c r="D134" s="53"/>
      <c r="F134" s="48"/>
      <c r="G134" s="48"/>
      <c r="H134" s="49"/>
      <c r="K134" s="46"/>
      <c r="O134" s="46"/>
      <c r="U134" s="46"/>
      <c r="AC134" s="55">
        <v>35.0</v>
      </c>
      <c r="AD134" s="11" t="s">
        <v>61</v>
      </c>
      <c r="AE134" s="57" t="s">
        <v>613</v>
      </c>
      <c r="AF134" s="59" t="s">
        <v>620</v>
      </c>
      <c r="AG134" s="11"/>
      <c r="AH134" s="11" t="s">
        <v>622</v>
      </c>
      <c r="AJ134" s="46"/>
      <c r="BA134" s="52"/>
      <c r="BB134" s="52"/>
    </row>
    <row r="135">
      <c r="A135" s="46"/>
      <c r="D135" s="53"/>
      <c r="F135" s="48"/>
      <c r="G135" s="48"/>
      <c r="H135" s="49"/>
      <c r="K135" s="46"/>
      <c r="O135" s="46"/>
      <c r="U135" s="46"/>
      <c r="AC135" s="10">
        <v>36.0</v>
      </c>
      <c r="AD135" s="11" t="s">
        <v>35</v>
      </c>
      <c r="AE135" s="11" t="s">
        <v>36</v>
      </c>
      <c r="AF135" s="11" t="s">
        <v>72</v>
      </c>
      <c r="AG135" s="11">
        <v>2.0</v>
      </c>
      <c r="AH135" s="11"/>
      <c r="AJ135" s="46"/>
      <c r="BA135" s="52"/>
      <c r="BB135" s="52"/>
    </row>
    <row r="136">
      <c r="A136" s="46"/>
      <c r="D136" s="53"/>
      <c r="F136" s="48"/>
      <c r="G136" s="48"/>
      <c r="H136" s="49"/>
      <c r="K136" s="46"/>
      <c r="O136" s="46"/>
      <c r="U136" s="46"/>
      <c r="AC136" s="10">
        <v>36.0</v>
      </c>
      <c r="AD136" s="11" t="s">
        <v>35</v>
      </c>
      <c r="AE136" s="11" t="s">
        <v>36</v>
      </c>
      <c r="AF136" s="11" t="s">
        <v>162</v>
      </c>
      <c r="AG136" s="11">
        <v>-5.0</v>
      </c>
      <c r="AH136" s="11"/>
      <c r="AJ136" s="46"/>
      <c r="BA136" s="52"/>
      <c r="BB136" s="52"/>
    </row>
    <row r="137">
      <c r="A137" s="46"/>
      <c r="D137" s="53"/>
      <c r="F137" s="48"/>
      <c r="G137" s="48"/>
      <c r="H137" s="49"/>
      <c r="K137" s="46"/>
      <c r="O137" s="46"/>
      <c r="U137" s="46"/>
      <c r="AC137" s="10">
        <v>36.0</v>
      </c>
      <c r="AD137" s="11" t="s">
        <v>61</v>
      </c>
      <c r="AE137" s="11" t="s">
        <v>36</v>
      </c>
      <c r="AF137" s="11" t="s">
        <v>162</v>
      </c>
      <c r="AG137" s="11">
        <v>5.0</v>
      </c>
      <c r="AH137" s="11"/>
      <c r="AJ137" s="46"/>
      <c r="BA137" s="52"/>
      <c r="BB137" s="52"/>
    </row>
    <row r="138">
      <c r="A138" s="46"/>
      <c r="D138" s="53"/>
      <c r="F138" s="48"/>
      <c r="G138" s="48"/>
      <c r="H138" s="49"/>
      <c r="K138" s="46"/>
      <c r="O138" s="46"/>
      <c r="U138" s="46"/>
      <c r="AC138" s="10">
        <v>36.0</v>
      </c>
      <c r="AD138" s="11" t="s">
        <v>61</v>
      </c>
      <c r="AE138" s="11" t="s">
        <v>36</v>
      </c>
      <c r="AF138" s="11" t="s">
        <v>72</v>
      </c>
      <c r="AG138" s="11">
        <v>-5.0</v>
      </c>
      <c r="AH138" s="11"/>
      <c r="AJ138" s="46"/>
      <c r="BA138" s="52"/>
      <c r="BB138" s="52"/>
    </row>
    <row r="139">
      <c r="A139" s="46"/>
      <c r="D139" s="53"/>
      <c r="F139" s="48"/>
      <c r="G139" s="48"/>
      <c r="H139" s="49"/>
      <c r="K139" s="46"/>
      <c r="O139" s="46"/>
      <c r="U139" s="46"/>
      <c r="AC139" s="10">
        <v>37.0</v>
      </c>
      <c r="AD139" s="11" t="s">
        <v>35</v>
      </c>
      <c r="AE139" s="11" t="s">
        <v>36</v>
      </c>
      <c r="AF139" s="11" t="s">
        <v>162</v>
      </c>
      <c r="AG139" s="11">
        <v>10.0</v>
      </c>
      <c r="AH139" s="11"/>
      <c r="AJ139" s="46"/>
      <c r="BA139" s="52"/>
      <c r="BB139" s="52"/>
    </row>
    <row r="140">
      <c r="A140" s="46"/>
      <c r="D140" s="53"/>
      <c r="F140" s="48"/>
      <c r="G140" s="48"/>
      <c r="H140" s="49"/>
      <c r="K140" s="46"/>
      <c r="O140" s="46"/>
      <c r="U140" s="46"/>
      <c r="AC140" s="10">
        <v>37.0</v>
      </c>
      <c r="AD140" s="11" t="s">
        <v>35</v>
      </c>
      <c r="AE140" s="11" t="s">
        <v>36</v>
      </c>
      <c r="AF140" s="11" t="s">
        <v>37</v>
      </c>
      <c r="AG140" s="11">
        <v>-12.0</v>
      </c>
      <c r="AH140" s="11"/>
      <c r="AJ140" s="46"/>
      <c r="BA140" s="52"/>
      <c r="BB140" s="52"/>
    </row>
    <row r="141">
      <c r="A141" s="46"/>
      <c r="D141" s="53"/>
      <c r="F141" s="48"/>
      <c r="G141" s="48"/>
      <c r="H141" s="49"/>
      <c r="K141" s="46"/>
      <c r="O141" s="46"/>
      <c r="U141" s="46"/>
      <c r="AC141" s="10">
        <v>37.0</v>
      </c>
      <c r="AD141" s="11" t="s">
        <v>61</v>
      </c>
      <c r="AE141" s="11" t="s">
        <v>36</v>
      </c>
      <c r="AF141" s="11" t="s">
        <v>37</v>
      </c>
      <c r="AG141" s="11">
        <v>10.0</v>
      </c>
      <c r="AH141" s="11"/>
      <c r="AJ141" s="46"/>
      <c r="BA141" s="52"/>
      <c r="BB141" s="52"/>
    </row>
    <row r="142">
      <c r="A142" s="46"/>
      <c r="D142" s="53"/>
      <c r="F142" s="48"/>
      <c r="G142" s="48"/>
      <c r="H142" s="49"/>
      <c r="K142" s="46"/>
      <c r="O142" s="46"/>
      <c r="U142" s="46"/>
      <c r="AC142" s="10">
        <v>38.0</v>
      </c>
      <c r="AD142" s="11" t="s">
        <v>35</v>
      </c>
      <c r="AE142" s="11" t="s">
        <v>36</v>
      </c>
      <c r="AF142" s="11" t="s">
        <v>162</v>
      </c>
      <c r="AG142" s="11">
        <v>5.0</v>
      </c>
      <c r="AH142" s="11"/>
      <c r="AJ142" s="46"/>
      <c r="BA142" s="52"/>
      <c r="BB142" s="52"/>
    </row>
    <row r="143">
      <c r="A143" s="46"/>
      <c r="D143" s="53"/>
      <c r="F143" s="48"/>
      <c r="G143" s="48"/>
      <c r="H143" s="49"/>
      <c r="K143" s="46"/>
      <c r="O143" s="46"/>
      <c r="U143" s="46"/>
      <c r="AC143" s="10">
        <v>38.0</v>
      </c>
      <c r="AD143" s="11" t="s">
        <v>35</v>
      </c>
      <c r="AE143" s="11" t="s">
        <v>36</v>
      </c>
      <c r="AF143" s="11" t="s">
        <v>37</v>
      </c>
      <c r="AG143" s="11">
        <v>-5.0</v>
      </c>
      <c r="AH143" s="11"/>
      <c r="AJ143" s="46"/>
      <c r="BA143" s="52"/>
      <c r="BB143" s="52"/>
    </row>
    <row r="144">
      <c r="A144" s="46"/>
      <c r="D144" s="53"/>
      <c r="F144" s="48"/>
      <c r="G144" s="48"/>
      <c r="H144" s="49"/>
      <c r="K144" s="46"/>
      <c r="O144" s="46"/>
      <c r="U144" s="46"/>
      <c r="AC144" s="10">
        <v>38.0</v>
      </c>
      <c r="AD144" s="11" t="s">
        <v>61</v>
      </c>
      <c r="AE144" s="11" t="s">
        <v>36</v>
      </c>
      <c r="AF144" s="11" t="s">
        <v>37</v>
      </c>
      <c r="AG144" s="11">
        <v>5.0</v>
      </c>
      <c r="AH144" s="11"/>
      <c r="AJ144" s="46"/>
      <c r="BA144" s="52"/>
      <c r="BB144" s="52"/>
    </row>
    <row r="145">
      <c r="A145" s="46"/>
      <c r="D145" s="53"/>
      <c r="F145" s="48"/>
      <c r="G145" s="48"/>
      <c r="H145" s="49"/>
      <c r="K145" s="46"/>
      <c r="O145" s="46"/>
      <c r="U145" s="46"/>
      <c r="AC145" s="10">
        <v>38.0</v>
      </c>
      <c r="AD145" s="11" t="s">
        <v>61</v>
      </c>
      <c r="AE145" s="11" t="s">
        <v>36</v>
      </c>
      <c r="AF145" s="11" t="s">
        <v>388</v>
      </c>
      <c r="AG145" s="11">
        <v>1.0</v>
      </c>
      <c r="AH145" s="11"/>
      <c r="AJ145" s="46"/>
      <c r="BA145" s="52"/>
      <c r="BB145" s="52"/>
    </row>
    <row r="146">
      <c r="A146" s="46"/>
      <c r="D146" s="53"/>
      <c r="F146" s="48"/>
      <c r="G146" s="48"/>
      <c r="H146" s="49"/>
      <c r="K146" s="46"/>
      <c r="O146" s="46"/>
      <c r="U146" s="46"/>
      <c r="AC146" s="10">
        <v>39.0</v>
      </c>
      <c r="AD146" s="11" t="s">
        <v>35</v>
      </c>
      <c r="AE146" s="11" t="s">
        <v>36</v>
      </c>
      <c r="AF146" s="11" t="s">
        <v>162</v>
      </c>
      <c r="AG146" s="11">
        <v>5.0</v>
      </c>
      <c r="AH146" s="11"/>
      <c r="AJ146" s="46"/>
      <c r="BA146" s="52"/>
      <c r="BB146" s="52"/>
    </row>
    <row r="147">
      <c r="A147" s="46"/>
      <c r="D147" s="53"/>
      <c r="F147" s="48"/>
      <c r="G147" s="48"/>
      <c r="H147" s="49"/>
      <c r="K147" s="46"/>
      <c r="O147" s="46"/>
      <c r="U147" s="46"/>
      <c r="AC147" s="10">
        <v>39.0</v>
      </c>
      <c r="AD147" s="11" t="s">
        <v>35</v>
      </c>
      <c r="AE147" s="11" t="s">
        <v>36</v>
      </c>
      <c r="AF147" s="11" t="s">
        <v>37</v>
      </c>
      <c r="AG147" s="11">
        <v>-7.0</v>
      </c>
      <c r="AH147" s="11"/>
      <c r="AJ147" s="46"/>
      <c r="BA147" s="52"/>
      <c r="BB147" s="52"/>
    </row>
    <row r="148">
      <c r="A148" s="46"/>
      <c r="D148" s="53"/>
      <c r="F148" s="48"/>
      <c r="G148" s="48"/>
      <c r="H148" s="49"/>
      <c r="K148" s="46"/>
      <c r="O148" s="46"/>
      <c r="U148" s="46"/>
      <c r="AC148" s="10">
        <v>39.0</v>
      </c>
      <c r="AD148" s="11" t="s">
        <v>61</v>
      </c>
      <c r="AE148" s="11" t="s">
        <v>36</v>
      </c>
      <c r="AF148" s="11" t="s">
        <v>37</v>
      </c>
      <c r="AG148" s="11">
        <v>5.0</v>
      </c>
      <c r="AH148" s="11"/>
      <c r="AJ148" s="46"/>
      <c r="BA148" s="52"/>
      <c r="BB148" s="52"/>
    </row>
    <row r="149">
      <c r="A149" s="46"/>
      <c r="D149" s="53"/>
      <c r="F149" s="48"/>
      <c r="G149" s="48"/>
      <c r="H149" s="49"/>
      <c r="K149" s="46"/>
      <c r="O149" s="46"/>
      <c r="U149" s="46"/>
      <c r="AC149" s="10">
        <v>39.0</v>
      </c>
      <c r="AD149" s="11" t="s">
        <v>61</v>
      </c>
      <c r="AE149" s="11" t="s">
        <v>36</v>
      </c>
      <c r="AF149" s="11" t="s">
        <v>72</v>
      </c>
      <c r="AG149" s="11">
        <v>-5.0</v>
      </c>
      <c r="AH149" s="25"/>
      <c r="AJ149" s="46"/>
      <c r="BA149" s="52"/>
      <c r="BB149" s="52"/>
    </row>
    <row r="150">
      <c r="A150" s="46"/>
      <c r="D150" s="53"/>
      <c r="F150" s="48"/>
      <c r="G150" s="48"/>
      <c r="H150" s="49"/>
      <c r="K150" s="46"/>
      <c r="O150" s="46"/>
      <c r="U150" s="46"/>
      <c r="AC150" s="10">
        <v>40.0</v>
      </c>
      <c r="AD150" s="25" t="s">
        <v>35</v>
      </c>
      <c r="AE150" s="25" t="s">
        <v>36</v>
      </c>
      <c r="AF150" s="25" t="s">
        <v>162</v>
      </c>
      <c r="AG150" s="25">
        <v>10.0</v>
      </c>
      <c r="AH150" s="25"/>
      <c r="AJ150" s="46"/>
      <c r="BA150" s="52"/>
      <c r="BB150" s="52"/>
    </row>
    <row r="151">
      <c r="A151" s="46"/>
      <c r="D151" s="53"/>
      <c r="F151" s="48"/>
      <c r="G151" s="48"/>
      <c r="H151" s="49"/>
      <c r="K151" s="46"/>
      <c r="O151" s="46"/>
      <c r="U151" s="46"/>
      <c r="AC151" s="10">
        <v>40.0</v>
      </c>
      <c r="AD151" s="11" t="s">
        <v>35</v>
      </c>
      <c r="AE151" s="11" t="s">
        <v>36</v>
      </c>
      <c r="AF151" s="11" t="s">
        <v>50</v>
      </c>
      <c r="AG151" s="11">
        <v>-10.0</v>
      </c>
      <c r="AH151" s="11"/>
      <c r="AJ151" s="46"/>
      <c r="BA151" s="52"/>
      <c r="BB151" s="52"/>
    </row>
    <row r="152">
      <c r="A152" s="46"/>
      <c r="D152" s="53"/>
      <c r="F152" s="48"/>
      <c r="G152" s="48"/>
      <c r="H152" s="49"/>
      <c r="K152" s="46"/>
      <c r="O152" s="46"/>
      <c r="U152" s="46"/>
      <c r="AC152" s="10">
        <v>40.0</v>
      </c>
      <c r="AD152" s="11" t="s">
        <v>61</v>
      </c>
      <c r="AE152" s="11" t="s">
        <v>36</v>
      </c>
      <c r="AF152" s="11" t="s">
        <v>162</v>
      </c>
      <c r="AG152" s="11">
        <v>-10.0</v>
      </c>
      <c r="AH152" s="11"/>
      <c r="AJ152" s="46"/>
      <c r="BA152" s="52"/>
      <c r="BB152" s="52"/>
    </row>
    <row r="153">
      <c r="A153" s="46"/>
      <c r="D153" s="53"/>
      <c r="F153" s="48"/>
      <c r="G153" s="48"/>
      <c r="H153" s="49"/>
      <c r="K153" s="46"/>
      <c r="O153" s="46"/>
      <c r="U153" s="46"/>
      <c r="AC153" s="10">
        <v>40.0</v>
      </c>
      <c r="AD153" s="11" t="s">
        <v>61</v>
      </c>
      <c r="AE153" s="11" t="s">
        <v>36</v>
      </c>
      <c r="AF153" s="11" t="s">
        <v>50</v>
      </c>
      <c r="AG153" s="11">
        <v>10.0</v>
      </c>
      <c r="AH153" s="11"/>
      <c r="AJ153" s="46"/>
      <c r="BA153" s="52"/>
      <c r="BB153" s="52"/>
    </row>
    <row r="154">
      <c r="A154" s="46"/>
      <c r="D154" s="53"/>
      <c r="F154" s="48"/>
      <c r="G154" s="48"/>
      <c r="H154" s="49"/>
      <c r="K154" s="46"/>
      <c r="O154" s="46"/>
      <c r="U154" s="46"/>
      <c r="AC154" s="10">
        <v>41.0</v>
      </c>
      <c r="AD154" s="11" t="s">
        <v>35</v>
      </c>
      <c r="AE154" s="11" t="s">
        <v>36</v>
      </c>
      <c r="AF154" s="11" t="s">
        <v>162</v>
      </c>
      <c r="AG154" s="11">
        <v>10.0</v>
      </c>
      <c r="AH154" s="11"/>
      <c r="AJ154" s="46"/>
      <c r="BA154" s="52"/>
      <c r="BB154" s="52"/>
    </row>
    <row r="155">
      <c r="A155" s="46"/>
      <c r="D155" s="53"/>
      <c r="F155" s="48"/>
      <c r="G155" s="48"/>
      <c r="H155" s="49"/>
      <c r="K155" s="46"/>
      <c r="O155" s="46"/>
      <c r="U155" s="46"/>
      <c r="AC155" s="10">
        <v>41.0</v>
      </c>
      <c r="AD155" s="11" t="s">
        <v>35</v>
      </c>
      <c r="AE155" s="11" t="s">
        <v>36</v>
      </c>
      <c r="AF155" s="11" t="s">
        <v>37</v>
      </c>
      <c r="AG155" s="11">
        <v>-10.0</v>
      </c>
      <c r="AH155" s="11"/>
      <c r="AJ155" s="46"/>
      <c r="BA155" s="52"/>
      <c r="BB155" s="52"/>
    </row>
    <row r="156">
      <c r="A156" s="46"/>
      <c r="D156" s="53"/>
      <c r="F156" s="48"/>
      <c r="G156" s="48"/>
      <c r="H156" s="49"/>
      <c r="K156" s="46"/>
      <c r="O156" s="46"/>
      <c r="U156" s="46"/>
      <c r="AC156" s="10">
        <v>41.0</v>
      </c>
      <c r="AD156" s="11" t="s">
        <v>61</v>
      </c>
      <c r="AE156" s="11" t="s">
        <v>36</v>
      </c>
      <c r="AF156" s="11" t="s">
        <v>37</v>
      </c>
      <c r="AG156" s="11">
        <v>5.0</v>
      </c>
      <c r="AH156" s="11"/>
      <c r="AJ156" s="46"/>
      <c r="BA156" s="52"/>
      <c r="BB156" s="52"/>
    </row>
    <row r="157">
      <c r="A157" s="46"/>
      <c r="D157" s="53"/>
      <c r="F157" s="48"/>
      <c r="G157" s="48"/>
      <c r="H157" s="49"/>
      <c r="K157" s="46"/>
      <c r="O157" s="46"/>
      <c r="U157" s="46"/>
      <c r="AC157" s="10">
        <v>41.0</v>
      </c>
      <c r="AD157" s="11" t="s">
        <v>61</v>
      </c>
      <c r="AE157" s="11" t="s">
        <v>36</v>
      </c>
      <c r="AF157" s="11" t="s">
        <v>162</v>
      </c>
      <c r="AG157" s="11">
        <v>-10.0</v>
      </c>
      <c r="AH157" s="11"/>
      <c r="AJ157" s="46"/>
      <c r="BA157" s="52"/>
      <c r="BB157" s="52"/>
    </row>
    <row r="158">
      <c r="A158" s="46"/>
      <c r="D158" s="53"/>
      <c r="F158" s="48"/>
      <c r="G158" s="48"/>
      <c r="H158" s="49"/>
      <c r="K158" s="46"/>
      <c r="O158" s="46"/>
      <c r="U158" s="46"/>
      <c r="AC158" s="10">
        <v>42.0</v>
      </c>
      <c r="AD158" s="11" t="s">
        <v>35</v>
      </c>
      <c r="AE158" s="11" t="s">
        <v>36</v>
      </c>
      <c r="AF158" s="11" t="s">
        <v>72</v>
      </c>
      <c r="AG158" s="11">
        <v>10.0</v>
      </c>
      <c r="AH158" s="11"/>
      <c r="AJ158" s="46"/>
      <c r="BA158" s="52"/>
      <c r="BB158" s="52"/>
    </row>
    <row r="159">
      <c r="A159" s="46"/>
      <c r="D159" s="53"/>
      <c r="F159" s="48"/>
      <c r="G159" s="48"/>
      <c r="H159" s="49"/>
      <c r="K159" s="46"/>
      <c r="O159" s="46"/>
      <c r="U159" s="46"/>
      <c r="AC159" s="10">
        <v>42.0</v>
      </c>
      <c r="AD159" s="11" t="s">
        <v>35</v>
      </c>
      <c r="AE159" s="11" t="s">
        <v>36</v>
      </c>
      <c r="AF159" s="11" t="s">
        <v>37</v>
      </c>
      <c r="AG159" s="11">
        <v>-8.0</v>
      </c>
      <c r="AH159" s="11"/>
      <c r="AJ159" s="46"/>
      <c r="BA159" s="52"/>
      <c r="BB159" s="52"/>
    </row>
    <row r="160">
      <c r="A160" s="46"/>
      <c r="D160" s="53"/>
      <c r="F160" s="48"/>
      <c r="G160" s="48"/>
      <c r="H160" s="49"/>
      <c r="K160" s="46"/>
      <c r="O160" s="46"/>
      <c r="U160" s="46"/>
      <c r="AC160" s="10">
        <v>42.0</v>
      </c>
      <c r="AD160" s="11" t="s">
        <v>61</v>
      </c>
      <c r="AE160" s="11" t="s">
        <v>36</v>
      </c>
      <c r="AF160" s="11" t="s">
        <v>162</v>
      </c>
      <c r="AG160" s="11">
        <v>5.0</v>
      </c>
      <c r="AH160" s="11"/>
      <c r="AJ160" s="46"/>
      <c r="BA160" s="52"/>
      <c r="BB160" s="52"/>
    </row>
    <row r="161">
      <c r="A161" s="46"/>
      <c r="D161" s="53"/>
      <c r="F161" s="48"/>
      <c r="G161" s="48"/>
      <c r="H161" s="49"/>
      <c r="K161" s="46"/>
      <c r="O161" s="46"/>
      <c r="U161" s="46"/>
      <c r="AC161" s="10">
        <v>43.0</v>
      </c>
      <c r="AD161" s="11" t="s">
        <v>35</v>
      </c>
      <c r="AE161" s="11" t="s">
        <v>36</v>
      </c>
      <c r="AF161" s="11" t="s">
        <v>37</v>
      </c>
      <c r="AG161" s="11">
        <v>20.0</v>
      </c>
      <c r="AH161" s="11"/>
      <c r="AJ161" s="46"/>
      <c r="BA161" s="52"/>
      <c r="BB161" s="52"/>
    </row>
    <row r="162">
      <c r="A162" s="46"/>
      <c r="D162" s="53"/>
      <c r="F162" s="48"/>
      <c r="G162" s="48"/>
      <c r="H162" s="49"/>
      <c r="K162" s="46"/>
      <c r="O162" s="46"/>
      <c r="U162" s="46"/>
      <c r="AC162" s="10">
        <v>43.0</v>
      </c>
      <c r="AD162" s="11" t="s">
        <v>35</v>
      </c>
      <c r="AE162" s="11" t="s">
        <v>36</v>
      </c>
      <c r="AF162" s="11" t="s">
        <v>50</v>
      </c>
      <c r="AG162" s="11">
        <v>-10.0</v>
      </c>
      <c r="AH162" s="11"/>
      <c r="AJ162" s="46"/>
      <c r="BA162" s="52"/>
      <c r="BB162" s="52"/>
    </row>
    <row r="163">
      <c r="A163" s="46"/>
      <c r="D163" s="53"/>
      <c r="F163" s="48"/>
      <c r="G163" s="48"/>
      <c r="H163" s="49"/>
      <c r="K163" s="46"/>
      <c r="O163" s="46"/>
      <c r="U163" s="46"/>
      <c r="AC163" s="10">
        <v>43.0</v>
      </c>
      <c r="AD163" s="11" t="s">
        <v>61</v>
      </c>
      <c r="AE163" s="11" t="s">
        <v>36</v>
      </c>
      <c r="AF163" s="11" t="s">
        <v>72</v>
      </c>
      <c r="AG163" s="11">
        <v>-15.0</v>
      </c>
      <c r="AH163" s="11"/>
      <c r="AJ163" s="46"/>
      <c r="BA163" s="52"/>
      <c r="BB163" s="52"/>
    </row>
    <row r="164">
      <c r="A164" s="46"/>
      <c r="D164" s="53"/>
      <c r="F164" s="48"/>
      <c r="G164" s="48"/>
      <c r="H164" s="49"/>
      <c r="K164" s="46"/>
      <c r="O164" s="46"/>
      <c r="U164" s="46"/>
      <c r="AC164" s="10">
        <v>43.0</v>
      </c>
      <c r="AD164" s="11" t="s">
        <v>61</v>
      </c>
      <c r="AE164" s="11" t="s">
        <v>36</v>
      </c>
      <c r="AF164" s="11" t="s">
        <v>50</v>
      </c>
      <c r="AG164" s="11">
        <v>5.0</v>
      </c>
      <c r="AH164" s="11"/>
      <c r="AJ164" s="46"/>
      <c r="BA164" s="52"/>
      <c r="BB164" s="52"/>
    </row>
    <row r="165">
      <c r="A165" s="46"/>
      <c r="D165" s="53"/>
      <c r="F165" s="48"/>
      <c r="G165" s="48"/>
      <c r="H165" s="49"/>
      <c r="K165" s="46"/>
      <c r="O165" s="46"/>
      <c r="U165" s="46"/>
      <c r="AC165" s="10">
        <v>44.0</v>
      </c>
      <c r="AD165" s="11" t="s">
        <v>35</v>
      </c>
      <c r="AE165" s="11" t="s">
        <v>36</v>
      </c>
      <c r="AF165" s="11" t="s">
        <v>72</v>
      </c>
      <c r="AG165" s="11">
        <v>5.0</v>
      </c>
      <c r="AH165" s="11"/>
      <c r="AJ165" s="46"/>
      <c r="BA165" s="52"/>
      <c r="BB165" s="52"/>
    </row>
    <row r="166">
      <c r="A166" s="46"/>
      <c r="D166" s="53"/>
      <c r="F166" s="48"/>
      <c r="G166" s="48"/>
      <c r="H166" s="49"/>
      <c r="K166" s="46"/>
      <c r="O166" s="46"/>
      <c r="U166" s="46"/>
      <c r="AC166" s="10">
        <v>44.0</v>
      </c>
      <c r="AD166" s="11" t="s">
        <v>35</v>
      </c>
      <c r="AE166" s="11" t="s">
        <v>36</v>
      </c>
      <c r="AF166" s="11" t="s">
        <v>50</v>
      </c>
      <c r="AG166" s="11">
        <v>10.0</v>
      </c>
      <c r="AH166" s="11"/>
      <c r="AJ166" s="46"/>
      <c r="BA166" s="52"/>
      <c r="BB166" s="52"/>
    </row>
    <row r="167">
      <c r="A167" s="46"/>
      <c r="D167" s="53"/>
      <c r="F167" s="48"/>
      <c r="G167" s="48"/>
      <c r="H167" s="49"/>
      <c r="K167" s="46"/>
      <c r="O167" s="46"/>
      <c r="U167" s="46"/>
      <c r="AC167" s="10">
        <v>44.0</v>
      </c>
      <c r="AD167" s="11" t="s">
        <v>61</v>
      </c>
      <c r="AE167" s="11" t="s">
        <v>36</v>
      </c>
      <c r="AF167" s="11" t="s">
        <v>37</v>
      </c>
      <c r="AG167" s="11">
        <v>5.0</v>
      </c>
      <c r="AH167" s="11"/>
      <c r="AJ167" s="46"/>
      <c r="BA167" s="52"/>
      <c r="BB167" s="52"/>
    </row>
    <row r="168">
      <c r="A168" s="46"/>
      <c r="D168" s="53"/>
      <c r="F168" s="48"/>
      <c r="G168" s="48"/>
      <c r="H168" s="49"/>
      <c r="K168" s="46"/>
      <c r="O168" s="46"/>
      <c r="U168" s="46"/>
      <c r="AC168" s="10">
        <v>45.0</v>
      </c>
      <c r="AD168" s="25" t="s">
        <v>35</v>
      </c>
      <c r="AE168" s="25" t="s">
        <v>36</v>
      </c>
      <c r="AF168" s="25" t="s">
        <v>72</v>
      </c>
      <c r="AG168" s="25">
        <v>5.0</v>
      </c>
      <c r="AH168" s="25"/>
      <c r="AJ168" s="46"/>
      <c r="BA168" s="52"/>
      <c r="BB168" s="52"/>
    </row>
    <row r="169">
      <c r="A169" s="46"/>
      <c r="D169" s="53"/>
      <c r="F169" s="48"/>
      <c r="G169" s="48"/>
      <c r="H169" s="49"/>
      <c r="K169" s="46"/>
      <c r="O169" s="46"/>
      <c r="U169" s="46"/>
      <c r="AC169" s="10">
        <v>45.0</v>
      </c>
      <c r="AD169" s="11" t="s">
        <v>35</v>
      </c>
      <c r="AE169" s="11" t="s">
        <v>36</v>
      </c>
      <c r="AF169" s="11" t="s">
        <v>388</v>
      </c>
      <c r="AG169" s="11">
        <v>1.0</v>
      </c>
      <c r="AH169" s="11"/>
      <c r="AJ169" s="46"/>
      <c r="BA169" s="52"/>
      <c r="BB169" s="52"/>
    </row>
    <row r="170">
      <c r="A170" s="46"/>
      <c r="D170" s="53"/>
      <c r="F170" s="48"/>
      <c r="G170" s="48"/>
      <c r="H170" s="49"/>
      <c r="K170" s="46"/>
      <c r="O170" s="46"/>
      <c r="U170" s="46"/>
      <c r="AC170" s="10">
        <v>45.0</v>
      </c>
      <c r="AD170" s="11" t="s">
        <v>61</v>
      </c>
      <c r="AE170" s="11" t="s">
        <v>36</v>
      </c>
      <c r="AF170" s="11" t="s">
        <v>162</v>
      </c>
      <c r="AG170" s="11">
        <v>5.0</v>
      </c>
      <c r="AH170" s="11"/>
      <c r="AJ170" s="46"/>
      <c r="BA170" s="52"/>
      <c r="BB170" s="52"/>
    </row>
    <row r="171">
      <c r="A171" s="46"/>
      <c r="D171" s="53"/>
      <c r="F171" s="48"/>
      <c r="G171" s="48"/>
      <c r="H171" s="49"/>
      <c r="K171" s="46"/>
      <c r="O171" s="46"/>
      <c r="U171" s="46"/>
      <c r="AC171" s="10">
        <v>46.0</v>
      </c>
      <c r="AD171" s="11" t="s">
        <v>35</v>
      </c>
      <c r="AE171" s="11" t="s">
        <v>36</v>
      </c>
      <c r="AF171" s="11" t="s">
        <v>72</v>
      </c>
      <c r="AG171" s="11">
        <v>5.0</v>
      </c>
      <c r="AH171" s="11"/>
      <c r="AJ171" s="46"/>
      <c r="BA171" s="52"/>
      <c r="BB171" s="52"/>
    </row>
    <row r="172">
      <c r="A172" s="46"/>
      <c r="D172" s="53"/>
      <c r="F172" s="48"/>
      <c r="G172" s="48"/>
      <c r="H172" s="49"/>
      <c r="K172" s="46"/>
      <c r="O172" s="46"/>
      <c r="U172" s="46"/>
      <c r="AC172" s="10">
        <v>46.0</v>
      </c>
      <c r="AD172" s="11" t="s">
        <v>35</v>
      </c>
      <c r="AE172" s="11" t="s">
        <v>36</v>
      </c>
      <c r="AF172" s="11" t="s">
        <v>37</v>
      </c>
      <c r="AG172" s="11">
        <v>-7.0</v>
      </c>
      <c r="AH172" s="11"/>
      <c r="AJ172" s="46"/>
      <c r="BA172" s="52"/>
      <c r="BB172" s="52"/>
    </row>
    <row r="173">
      <c r="A173" s="46"/>
      <c r="D173" s="53"/>
      <c r="F173" s="48"/>
      <c r="G173" s="48"/>
      <c r="H173" s="49"/>
      <c r="K173" s="46"/>
      <c r="O173" s="46"/>
      <c r="U173" s="46"/>
      <c r="AC173" s="10">
        <v>46.0</v>
      </c>
      <c r="AD173" s="11" t="s">
        <v>61</v>
      </c>
      <c r="AE173" s="11" t="s">
        <v>36</v>
      </c>
      <c r="AF173" s="11" t="s">
        <v>37</v>
      </c>
      <c r="AG173" s="11">
        <v>5.0</v>
      </c>
      <c r="AH173" s="11"/>
      <c r="AJ173" s="46"/>
      <c r="BA173" s="52"/>
      <c r="BB173" s="52"/>
    </row>
    <row r="174">
      <c r="A174" s="46"/>
      <c r="D174" s="53"/>
      <c r="F174" s="48"/>
      <c r="G174" s="48"/>
      <c r="H174" s="49"/>
      <c r="K174" s="46"/>
      <c r="O174" s="46"/>
      <c r="U174" s="46"/>
      <c r="AC174" s="10">
        <v>46.0</v>
      </c>
      <c r="AD174" s="11" t="s">
        <v>61</v>
      </c>
      <c r="AE174" s="11" t="s">
        <v>36</v>
      </c>
      <c r="AF174" s="11" t="s">
        <v>72</v>
      </c>
      <c r="AG174" s="11">
        <v>-5.0</v>
      </c>
      <c r="AH174" s="11"/>
      <c r="AJ174" s="46"/>
      <c r="BA174" s="52"/>
      <c r="BB174" s="52"/>
    </row>
    <row r="175">
      <c r="A175" s="46"/>
      <c r="D175" s="53"/>
      <c r="F175" s="48"/>
      <c r="G175" s="48"/>
      <c r="H175" s="49"/>
      <c r="K175" s="46"/>
      <c r="O175" s="46"/>
      <c r="U175" s="46"/>
      <c r="AC175" s="10">
        <v>47.0</v>
      </c>
      <c r="AD175" s="11" t="s">
        <v>35</v>
      </c>
      <c r="AE175" s="11" t="s">
        <v>613</v>
      </c>
      <c r="AF175" s="11" t="s">
        <v>623</v>
      </c>
      <c r="AG175" s="11"/>
      <c r="AH175" s="11"/>
      <c r="AJ175" s="46"/>
      <c r="BA175" s="52"/>
      <c r="BB175" s="52"/>
    </row>
    <row r="176">
      <c r="A176" s="46"/>
      <c r="D176" s="53"/>
      <c r="F176" s="48"/>
      <c r="G176" s="48"/>
      <c r="H176" s="49"/>
      <c r="K176" s="46"/>
      <c r="O176" s="46"/>
      <c r="U176" s="46"/>
      <c r="AC176" s="10">
        <v>47.0</v>
      </c>
      <c r="AD176" s="11" t="s">
        <v>35</v>
      </c>
      <c r="AE176" s="11" t="s">
        <v>36</v>
      </c>
      <c r="AF176" s="11" t="s">
        <v>37</v>
      </c>
      <c r="AG176" s="11">
        <v>25.0</v>
      </c>
      <c r="AH176" s="11"/>
      <c r="AJ176" s="46"/>
      <c r="BA176" s="52"/>
      <c r="BB176" s="52"/>
    </row>
    <row r="177">
      <c r="A177" s="46"/>
      <c r="D177" s="53"/>
      <c r="F177" s="48"/>
      <c r="G177" s="48"/>
      <c r="H177" s="49"/>
      <c r="K177" s="46"/>
      <c r="O177" s="46"/>
      <c r="U177" s="46"/>
      <c r="AC177" s="10">
        <v>47.0</v>
      </c>
      <c r="AD177" s="11" t="s">
        <v>61</v>
      </c>
      <c r="AE177" s="11" t="s">
        <v>36</v>
      </c>
      <c r="AF177" s="11" t="s">
        <v>72</v>
      </c>
      <c r="AG177" s="11">
        <v>15.0</v>
      </c>
      <c r="AH177" s="11"/>
      <c r="AJ177" s="46"/>
      <c r="BA177" s="52"/>
      <c r="BB177" s="52"/>
    </row>
    <row r="178">
      <c r="A178" s="46"/>
      <c r="D178" s="53"/>
      <c r="F178" s="48"/>
      <c r="G178" s="48"/>
      <c r="H178" s="49"/>
      <c r="K178" s="46"/>
      <c r="O178" s="46"/>
      <c r="U178" s="46"/>
      <c r="AC178" s="10">
        <v>48.0</v>
      </c>
      <c r="AD178" s="11" t="s">
        <v>35</v>
      </c>
      <c r="AE178" s="11" t="s">
        <v>36</v>
      </c>
      <c r="AF178" s="11" t="s">
        <v>72</v>
      </c>
      <c r="AG178" s="11">
        <v>5.0</v>
      </c>
      <c r="AH178" s="11"/>
      <c r="AJ178" s="46"/>
      <c r="BA178" s="52"/>
      <c r="BB178" s="52"/>
    </row>
    <row r="179">
      <c r="A179" s="46"/>
      <c r="D179" s="53"/>
      <c r="F179" s="48"/>
      <c r="G179" s="48"/>
      <c r="H179" s="49"/>
      <c r="K179" s="46"/>
      <c r="O179" s="46"/>
      <c r="U179" s="46"/>
      <c r="AC179" s="10">
        <v>48.0</v>
      </c>
      <c r="AD179" s="11" t="s">
        <v>35</v>
      </c>
      <c r="AE179" s="11" t="s">
        <v>36</v>
      </c>
      <c r="AF179" s="11" t="s">
        <v>37</v>
      </c>
      <c r="AG179" s="11">
        <v>-10.0</v>
      </c>
      <c r="AH179" s="11"/>
      <c r="AJ179" s="46"/>
      <c r="BA179" s="52"/>
      <c r="BB179" s="52"/>
    </row>
    <row r="180">
      <c r="A180" s="46"/>
      <c r="D180" s="53"/>
      <c r="F180" s="48"/>
      <c r="G180" s="48"/>
      <c r="H180" s="49"/>
      <c r="K180" s="46"/>
      <c r="O180" s="46"/>
      <c r="U180" s="46"/>
      <c r="AC180" s="10">
        <v>48.0</v>
      </c>
      <c r="AD180" s="11" t="s">
        <v>61</v>
      </c>
      <c r="AE180" s="11" t="s">
        <v>36</v>
      </c>
      <c r="AF180" s="11" t="s">
        <v>624</v>
      </c>
      <c r="AG180" s="11">
        <v>5.0</v>
      </c>
      <c r="AH180" s="11"/>
      <c r="AJ180" s="46"/>
      <c r="BA180" s="52"/>
      <c r="BB180" s="52"/>
    </row>
    <row r="181">
      <c r="A181" s="46"/>
      <c r="D181" s="53"/>
      <c r="F181" s="48"/>
      <c r="G181" s="48"/>
      <c r="H181" s="49"/>
      <c r="K181" s="46"/>
      <c r="O181" s="46"/>
      <c r="U181" s="46"/>
      <c r="AC181" s="10">
        <v>48.0</v>
      </c>
      <c r="AD181" s="11" t="s">
        <v>61</v>
      </c>
      <c r="AE181" s="11" t="s">
        <v>36</v>
      </c>
      <c r="AF181" s="11" t="s">
        <v>72</v>
      </c>
      <c r="AG181" s="11">
        <v>-10.0</v>
      </c>
      <c r="AH181" s="11"/>
      <c r="AJ181" s="46"/>
      <c r="BA181" s="52"/>
      <c r="BB181" s="52"/>
    </row>
    <row r="182">
      <c r="A182" s="46"/>
      <c r="D182" s="53"/>
      <c r="F182" s="48"/>
      <c r="G182" s="48"/>
      <c r="H182" s="49"/>
      <c r="K182" s="46"/>
      <c r="O182" s="46"/>
      <c r="U182" s="46"/>
      <c r="AC182" s="60">
        <v>49.0</v>
      </c>
      <c r="AD182" s="11" t="s">
        <v>35</v>
      </c>
      <c r="AE182" s="11" t="s">
        <v>36</v>
      </c>
      <c r="AF182" s="11" t="s">
        <v>72</v>
      </c>
      <c r="AG182" s="11">
        <v>5.0</v>
      </c>
      <c r="AH182" s="11"/>
      <c r="AJ182" s="46"/>
      <c r="BA182" s="52"/>
      <c r="BB182" s="52"/>
    </row>
    <row r="183">
      <c r="A183" s="46"/>
      <c r="D183" s="53"/>
      <c r="F183" s="48"/>
      <c r="G183" s="48"/>
      <c r="H183" s="49"/>
      <c r="K183" s="46"/>
      <c r="O183" s="46"/>
      <c r="U183" s="46"/>
      <c r="AC183" s="60">
        <v>49.0</v>
      </c>
      <c r="AD183" s="11" t="s">
        <v>61</v>
      </c>
      <c r="AE183" s="11" t="s">
        <v>36</v>
      </c>
      <c r="AF183" s="11" t="s">
        <v>162</v>
      </c>
      <c r="AG183" s="11">
        <v>5.0</v>
      </c>
      <c r="AH183" s="11"/>
      <c r="AJ183" s="46"/>
      <c r="BA183" s="52"/>
      <c r="BB183" s="52"/>
    </row>
    <row r="184">
      <c r="A184" s="46"/>
      <c r="D184" s="53"/>
      <c r="F184" s="48"/>
      <c r="G184" s="48"/>
      <c r="H184" s="49"/>
      <c r="K184" s="46"/>
      <c r="O184" s="46"/>
      <c r="U184" s="46"/>
      <c r="AC184" s="60">
        <v>49.0</v>
      </c>
      <c r="AD184" s="11" t="s">
        <v>61</v>
      </c>
      <c r="AE184" s="11" t="s">
        <v>613</v>
      </c>
      <c r="AF184" s="11"/>
      <c r="AG184" s="11"/>
      <c r="AH184" s="11" t="s">
        <v>625</v>
      </c>
      <c r="AJ184" s="46"/>
      <c r="BA184" s="52"/>
      <c r="BB184" s="52"/>
    </row>
    <row r="185">
      <c r="A185" s="46"/>
      <c r="D185" s="53"/>
      <c r="F185" s="48"/>
      <c r="G185" s="48"/>
      <c r="H185" s="49"/>
      <c r="K185" s="46"/>
      <c r="O185" s="46"/>
      <c r="U185" s="46"/>
      <c r="AC185" s="61">
        <v>50.0</v>
      </c>
      <c r="AD185" s="25" t="s">
        <v>35</v>
      </c>
      <c r="AE185" s="25" t="s">
        <v>36</v>
      </c>
      <c r="AF185" s="25" t="s">
        <v>162</v>
      </c>
      <c r="AG185" s="25">
        <v>10.0</v>
      </c>
      <c r="AH185" s="25"/>
      <c r="AJ185" s="46"/>
      <c r="BA185" s="52"/>
      <c r="BB185" s="52"/>
    </row>
    <row r="186">
      <c r="A186" s="46"/>
      <c r="D186" s="53"/>
      <c r="F186" s="48"/>
      <c r="G186" s="48"/>
      <c r="H186" s="49"/>
      <c r="K186" s="46"/>
      <c r="O186" s="46"/>
      <c r="U186" s="46"/>
      <c r="AC186" s="61">
        <v>50.0</v>
      </c>
      <c r="AD186" s="11" t="s">
        <v>35</v>
      </c>
      <c r="AE186" s="11" t="s">
        <v>36</v>
      </c>
      <c r="AF186" s="56" t="s">
        <v>619</v>
      </c>
      <c r="AG186" s="11">
        <v>5.0</v>
      </c>
      <c r="AH186" s="11"/>
      <c r="AJ186" s="46"/>
      <c r="BA186" s="52"/>
      <c r="BB186" s="52"/>
    </row>
    <row r="187">
      <c r="A187" s="46"/>
      <c r="D187" s="53"/>
      <c r="F187" s="48"/>
      <c r="G187" s="48"/>
      <c r="H187" s="49"/>
      <c r="K187" s="46"/>
      <c r="O187" s="46"/>
      <c r="U187" s="46"/>
      <c r="AC187" s="61">
        <v>50.0</v>
      </c>
      <c r="AD187" s="11" t="s">
        <v>61</v>
      </c>
      <c r="AE187" s="11" t="s">
        <v>36</v>
      </c>
      <c r="AF187" s="11" t="s">
        <v>50</v>
      </c>
      <c r="AG187" s="11">
        <v>10.0</v>
      </c>
      <c r="AH187" s="11"/>
      <c r="AJ187" s="46"/>
      <c r="BA187" s="52"/>
      <c r="BB187" s="52"/>
    </row>
    <row r="188">
      <c r="A188" s="46"/>
      <c r="D188" s="53"/>
      <c r="F188" s="48"/>
      <c r="G188" s="48"/>
      <c r="H188" s="49"/>
      <c r="K188" s="46"/>
      <c r="O188" s="46"/>
      <c r="U188" s="46"/>
      <c r="AC188" s="61">
        <v>51.0</v>
      </c>
      <c r="AD188" s="11" t="s">
        <v>35</v>
      </c>
      <c r="AE188" s="11" t="s">
        <v>36</v>
      </c>
      <c r="AF188" s="11" t="s">
        <v>72</v>
      </c>
      <c r="AG188" s="11">
        <v>10.0</v>
      </c>
      <c r="AH188" s="11"/>
      <c r="AJ188" s="46"/>
      <c r="BA188" s="52"/>
      <c r="BB188" s="52"/>
    </row>
    <row r="189">
      <c r="A189" s="46"/>
      <c r="D189" s="53"/>
      <c r="F189" s="48"/>
      <c r="G189" s="48"/>
      <c r="H189" s="49"/>
      <c r="K189" s="46"/>
      <c r="O189" s="46"/>
      <c r="U189" s="46"/>
      <c r="AC189" s="61">
        <v>51.0</v>
      </c>
      <c r="AD189" s="11" t="s">
        <v>35</v>
      </c>
      <c r="AE189" s="11" t="s">
        <v>36</v>
      </c>
      <c r="AF189" s="11" t="s">
        <v>162</v>
      </c>
      <c r="AG189" s="11">
        <v>-20.0</v>
      </c>
      <c r="AH189" s="11"/>
      <c r="AJ189" s="46"/>
      <c r="BA189" s="52"/>
      <c r="BB189" s="52"/>
    </row>
    <row r="190">
      <c r="A190" s="46"/>
      <c r="D190" s="53"/>
      <c r="F190" s="48"/>
      <c r="G190" s="48"/>
      <c r="H190" s="49"/>
      <c r="K190" s="46"/>
      <c r="O190" s="46"/>
      <c r="U190" s="46"/>
      <c r="AC190" s="61">
        <v>51.0</v>
      </c>
      <c r="AD190" s="11" t="s">
        <v>35</v>
      </c>
      <c r="AE190" s="11" t="s">
        <v>36</v>
      </c>
      <c r="AF190" s="56" t="s">
        <v>619</v>
      </c>
      <c r="AG190" s="11">
        <v>20.0</v>
      </c>
      <c r="AH190" s="11"/>
      <c r="AJ190" s="46"/>
      <c r="BA190" s="52"/>
      <c r="BB190" s="52"/>
    </row>
    <row r="191">
      <c r="A191" s="46"/>
      <c r="D191" s="53"/>
      <c r="F191" s="48"/>
      <c r="G191" s="48"/>
      <c r="H191" s="49"/>
      <c r="K191" s="46"/>
      <c r="O191" s="46"/>
      <c r="U191" s="46"/>
      <c r="AC191" s="61">
        <v>51.0</v>
      </c>
      <c r="AD191" s="11" t="s">
        <v>61</v>
      </c>
      <c r="AE191" s="11" t="s">
        <v>36</v>
      </c>
      <c r="AF191" s="11" t="s">
        <v>162</v>
      </c>
      <c r="AG191" s="11">
        <v>5.0</v>
      </c>
      <c r="AH191" s="11"/>
      <c r="AJ191" s="46"/>
      <c r="BA191" s="52"/>
      <c r="BB191" s="52"/>
    </row>
    <row r="192">
      <c r="A192" s="46"/>
      <c r="D192" s="53"/>
      <c r="F192" s="48"/>
      <c r="G192" s="48"/>
      <c r="H192" s="49"/>
      <c r="K192" s="46"/>
      <c r="O192" s="46"/>
      <c r="U192" s="46"/>
      <c r="AC192" s="61">
        <v>51.0</v>
      </c>
      <c r="AD192" s="11" t="s">
        <v>61</v>
      </c>
      <c r="AE192" s="11" t="s">
        <v>36</v>
      </c>
      <c r="AF192" s="56" t="s">
        <v>619</v>
      </c>
      <c r="AG192" s="11">
        <v>-10.0</v>
      </c>
      <c r="AH192" s="11"/>
      <c r="AJ192" s="46"/>
      <c r="BA192" s="52"/>
      <c r="BB192" s="52"/>
    </row>
    <row r="193">
      <c r="A193" s="46"/>
      <c r="D193" s="53"/>
      <c r="F193" s="48"/>
      <c r="G193" s="48"/>
      <c r="H193" s="49"/>
      <c r="K193" s="46"/>
      <c r="O193" s="46"/>
      <c r="U193" s="46"/>
      <c r="AC193" s="61">
        <v>51.0</v>
      </c>
      <c r="AD193" s="11" t="s">
        <v>617</v>
      </c>
      <c r="AE193" s="11" t="s">
        <v>613</v>
      </c>
      <c r="AF193" s="11" t="s">
        <v>626</v>
      </c>
      <c r="AG193" s="11">
        <v>1.0</v>
      </c>
      <c r="AH193" s="11"/>
      <c r="AJ193" s="46"/>
      <c r="BA193" s="52"/>
      <c r="BB193" s="52"/>
    </row>
    <row r="194">
      <c r="A194" s="46"/>
      <c r="D194" s="53"/>
      <c r="F194" s="48"/>
      <c r="G194" s="48"/>
      <c r="H194" s="49"/>
      <c r="K194" s="46"/>
      <c r="O194" s="46"/>
      <c r="U194" s="46"/>
      <c r="AC194" s="61">
        <v>52.0</v>
      </c>
      <c r="AD194" s="11" t="s">
        <v>35</v>
      </c>
      <c r="AE194" s="11" t="s">
        <v>36</v>
      </c>
      <c r="AF194" s="11" t="s">
        <v>37</v>
      </c>
      <c r="AG194" s="11">
        <v>20.0</v>
      </c>
      <c r="AH194" s="11"/>
      <c r="AJ194" s="46"/>
      <c r="BA194" s="52"/>
      <c r="BB194" s="52"/>
    </row>
    <row r="195">
      <c r="A195" s="46"/>
      <c r="D195" s="53"/>
      <c r="F195" s="48"/>
      <c r="G195" s="48"/>
      <c r="H195" s="49"/>
      <c r="K195" s="46"/>
      <c r="O195" s="46"/>
      <c r="U195" s="46"/>
      <c r="AC195" s="61">
        <v>52.0</v>
      </c>
      <c r="AD195" s="11" t="s">
        <v>35</v>
      </c>
      <c r="AE195" s="11" t="s">
        <v>36</v>
      </c>
      <c r="AF195" s="11" t="s">
        <v>162</v>
      </c>
      <c r="AG195" s="11">
        <v>-10.0</v>
      </c>
      <c r="AH195" s="11"/>
      <c r="AJ195" s="46"/>
      <c r="BA195" s="52"/>
      <c r="BB195" s="52"/>
    </row>
    <row r="196">
      <c r="A196" s="46"/>
      <c r="D196" s="53"/>
      <c r="F196" s="48"/>
      <c r="G196" s="48"/>
      <c r="H196" s="49"/>
      <c r="K196" s="46"/>
      <c r="O196" s="46"/>
      <c r="U196" s="46"/>
      <c r="AC196" s="61">
        <v>52.0</v>
      </c>
      <c r="AD196" s="11" t="s">
        <v>35</v>
      </c>
      <c r="AE196" s="11" t="s">
        <v>36</v>
      </c>
      <c r="AF196" s="56" t="s">
        <v>619</v>
      </c>
      <c r="AG196" s="11">
        <v>15.0</v>
      </c>
      <c r="AH196" s="11"/>
      <c r="AJ196" s="46"/>
      <c r="BA196" s="52"/>
      <c r="BB196" s="52"/>
    </row>
    <row r="197">
      <c r="A197" s="46"/>
      <c r="D197" s="53"/>
      <c r="F197" s="48"/>
      <c r="G197" s="48"/>
      <c r="H197" s="49"/>
      <c r="K197" s="46"/>
      <c r="O197" s="46"/>
      <c r="U197" s="46"/>
      <c r="AC197" s="61">
        <v>52.0</v>
      </c>
      <c r="AD197" s="11" t="s">
        <v>61</v>
      </c>
      <c r="AE197" s="11" t="s">
        <v>36</v>
      </c>
      <c r="AF197" s="11" t="s">
        <v>72</v>
      </c>
      <c r="AG197" s="11">
        <v>-15.0</v>
      </c>
      <c r="AH197" s="11"/>
      <c r="AJ197" s="46"/>
      <c r="BA197" s="52"/>
      <c r="BB197" s="52"/>
    </row>
    <row r="198">
      <c r="A198" s="46"/>
      <c r="D198" s="53"/>
      <c r="F198" s="48"/>
      <c r="G198" s="48"/>
      <c r="H198" s="49"/>
      <c r="K198" s="46"/>
      <c r="O198" s="46"/>
      <c r="U198" s="46"/>
      <c r="AC198" s="61">
        <v>52.0</v>
      </c>
      <c r="AD198" s="11" t="s">
        <v>61</v>
      </c>
      <c r="AE198" s="11" t="s">
        <v>36</v>
      </c>
      <c r="AF198" s="11" t="s">
        <v>162</v>
      </c>
      <c r="AG198" s="11">
        <v>10.0</v>
      </c>
      <c r="AH198" s="11"/>
      <c r="AJ198" s="46"/>
      <c r="BA198" s="52"/>
      <c r="BB198" s="52"/>
    </row>
    <row r="199">
      <c r="A199" s="46"/>
      <c r="D199" s="53"/>
      <c r="F199" s="48"/>
      <c r="G199" s="48"/>
      <c r="H199" s="49"/>
      <c r="K199" s="46"/>
      <c r="O199" s="46"/>
      <c r="U199" s="46"/>
      <c r="AC199" s="61">
        <v>52.0</v>
      </c>
      <c r="AD199" s="11" t="s">
        <v>617</v>
      </c>
      <c r="AE199" s="11" t="s">
        <v>613</v>
      </c>
      <c r="AF199" s="11" t="s">
        <v>626</v>
      </c>
      <c r="AG199" s="11">
        <v>2.0</v>
      </c>
      <c r="AH199" s="11"/>
      <c r="AJ199" s="46"/>
      <c r="BA199" s="52"/>
      <c r="BB199" s="52"/>
    </row>
    <row r="200">
      <c r="A200" s="46"/>
      <c r="D200" s="53"/>
      <c r="F200" s="48"/>
      <c r="G200" s="48"/>
      <c r="H200" s="49"/>
      <c r="K200" s="46"/>
      <c r="O200" s="46"/>
      <c r="U200" s="46"/>
      <c r="AC200" s="61">
        <v>53.0</v>
      </c>
      <c r="AD200" s="11" t="s">
        <v>35</v>
      </c>
      <c r="AE200" s="11" t="s">
        <v>36</v>
      </c>
      <c r="AF200" s="11" t="s">
        <v>162</v>
      </c>
      <c r="AG200" s="11">
        <v>15.0</v>
      </c>
      <c r="AH200" s="11"/>
      <c r="AJ200" s="46"/>
      <c r="BA200" s="52"/>
      <c r="BB200" s="52"/>
    </row>
    <row r="201">
      <c r="A201" s="46"/>
      <c r="D201" s="53"/>
      <c r="F201" s="48"/>
      <c r="G201" s="48"/>
      <c r="H201" s="49"/>
      <c r="K201" s="46"/>
      <c r="O201" s="46"/>
      <c r="U201" s="46"/>
      <c r="AC201" s="61">
        <v>53.0</v>
      </c>
      <c r="AD201" s="11" t="s">
        <v>35</v>
      </c>
      <c r="AE201" s="11" t="s">
        <v>36</v>
      </c>
      <c r="AF201" s="11" t="s">
        <v>50</v>
      </c>
      <c r="AG201" s="11">
        <v>-15.0</v>
      </c>
      <c r="AH201" s="11"/>
      <c r="AJ201" s="46"/>
      <c r="BA201" s="52"/>
      <c r="BB201" s="52"/>
    </row>
    <row r="202">
      <c r="A202" s="46"/>
      <c r="D202" s="53"/>
      <c r="F202" s="48"/>
      <c r="G202" s="48"/>
      <c r="H202" s="49"/>
      <c r="K202" s="46"/>
      <c r="O202" s="46"/>
      <c r="U202" s="46"/>
      <c r="AC202" s="61">
        <v>53.0</v>
      </c>
      <c r="AD202" s="11" t="s">
        <v>61</v>
      </c>
      <c r="AE202" s="11" t="s">
        <v>36</v>
      </c>
      <c r="AF202" s="11" t="s">
        <v>50</v>
      </c>
      <c r="AG202" s="11">
        <v>10.0</v>
      </c>
      <c r="AH202" s="11"/>
      <c r="AJ202" s="46"/>
      <c r="BA202" s="52"/>
      <c r="BB202" s="52"/>
    </row>
    <row r="203">
      <c r="A203" s="46"/>
      <c r="D203" s="53"/>
      <c r="F203" s="48"/>
      <c r="G203" s="48"/>
      <c r="H203" s="49"/>
      <c r="K203" s="46"/>
      <c r="O203" s="46"/>
      <c r="U203" s="46"/>
      <c r="AC203" s="61">
        <v>53.0</v>
      </c>
      <c r="AD203" s="11" t="s">
        <v>617</v>
      </c>
      <c r="AE203" s="11" t="s">
        <v>613</v>
      </c>
      <c r="AF203" s="11" t="s">
        <v>626</v>
      </c>
      <c r="AG203" s="11">
        <v>3.0</v>
      </c>
      <c r="AH203" s="11"/>
      <c r="AJ203" s="46"/>
      <c r="BA203" s="52"/>
      <c r="BB203" s="52"/>
    </row>
    <row r="204">
      <c r="A204" s="46"/>
      <c r="D204" s="53"/>
      <c r="F204" s="48"/>
      <c r="G204" s="48"/>
      <c r="H204" s="49"/>
      <c r="K204" s="46"/>
      <c r="O204" s="46"/>
      <c r="U204" s="46"/>
      <c r="AC204" s="61">
        <v>54.0</v>
      </c>
      <c r="AD204" s="11" t="s">
        <v>35</v>
      </c>
      <c r="AE204" s="11" t="s">
        <v>36</v>
      </c>
      <c r="AF204" s="11" t="s">
        <v>50</v>
      </c>
      <c r="AG204" s="11">
        <v>-10.0</v>
      </c>
      <c r="AH204" s="11"/>
      <c r="AJ204" s="46"/>
      <c r="BA204" s="52"/>
      <c r="BB204" s="52"/>
    </row>
    <row r="205">
      <c r="A205" s="46"/>
      <c r="D205" s="53"/>
      <c r="F205" s="48"/>
      <c r="G205" s="48"/>
      <c r="H205" s="49"/>
      <c r="K205" s="46"/>
      <c r="O205" s="46"/>
      <c r="U205" s="46"/>
      <c r="AC205" s="61">
        <v>54.0</v>
      </c>
      <c r="AD205" s="11" t="s">
        <v>35</v>
      </c>
      <c r="AE205" s="11" t="s">
        <v>36</v>
      </c>
      <c r="AF205" s="11" t="s">
        <v>162</v>
      </c>
      <c r="AG205" s="11">
        <v>-5.0</v>
      </c>
      <c r="AH205" s="11"/>
      <c r="AJ205" s="46"/>
      <c r="BA205" s="52"/>
      <c r="BB205" s="52"/>
    </row>
    <row r="206">
      <c r="A206" s="46"/>
      <c r="D206" s="53"/>
      <c r="F206" s="48"/>
      <c r="G206" s="48"/>
      <c r="H206" s="49"/>
      <c r="K206" s="46"/>
      <c r="O206" s="46"/>
      <c r="U206" s="46"/>
      <c r="AC206" s="61">
        <v>54.0</v>
      </c>
      <c r="AD206" s="11" t="s">
        <v>35</v>
      </c>
      <c r="AE206" s="11" t="s">
        <v>36</v>
      </c>
      <c r="AF206" s="56" t="s">
        <v>619</v>
      </c>
      <c r="AG206" s="11">
        <v>20.0</v>
      </c>
      <c r="AH206" s="11"/>
      <c r="AJ206" s="46"/>
      <c r="BA206" s="52"/>
      <c r="BB206" s="52"/>
    </row>
    <row r="207">
      <c r="A207" s="46"/>
      <c r="D207" s="53"/>
      <c r="F207" s="48"/>
      <c r="G207" s="48"/>
      <c r="H207" s="49"/>
      <c r="K207" s="46"/>
      <c r="O207" s="46"/>
      <c r="U207" s="46"/>
      <c r="AC207" s="61">
        <v>54.0</v>
      </c>
      <c r="AD207" s="11" t="s">
        <v>61</v>
      </c>
      <c r="AE207" s="11" t="s">
        <v>36</v>
      </c>
      <c r="AF207" s="11" t="s">
        <v>162</v>
      </c>
      <c r="AG207" s="11">
        <v>5.0</v>
      </c>
      <c r="AH207" s="11"/>
      <c r="AJ207" s="46"/>
      <c r="BA207" s="52"/>
      <c r="BB207" s="52"/>
    </row>
    <row r="208">
      <c r="A208" s="46"/>
      <c r="D208" s="53"/>
      <c r="F208" s="48"/>
      <c r="G208" s="48"/>
      <c r="H208" s="49"/>
      <c r="K208" s="46"/>
      <c r="O208" s="46"/>
      <c r="U208" s="46"/>
      <c r="AC208" s="61">
        <v>54.0</v>
      </c>
      <c r="AD208" s="11" t="s">
        <v>61</v>
      </c>
      <c r="AE208" s="11" t="s">
        <v>36</v>
      </c>
      <c r="AF208" s="11" t="s">
        <v>72</v>
      </c>
      <c r="AG208" s="11">
        <v>-10.0</v>
      </c>
      <c r="AH208" s="11"/>
      <c r="AJ208" s="46"/>
      <c r="BA208" s="52"/>
      <c r="BB208" s="52"/>
    </row>
    <row r="209">
      <c r="A209" s="46"/>
      <c r="D209" s="53"/>
      <c r="F209" s="48"/>
      <c r="G209" s="48"/>
      <c r="H209" s="49"/>
      <c r="K209" s="46"/>
      <c r="O209" s="46"/>
      <c r="U209" s="46"/>
      <c r="AC209" s="61">
        <v>54.0</v>
      </c>
      <c r="AD209" s="11" t="s">
        <v>617</v>
      </c>
      <c r="AE209" s="11" t="s">
        <v>613</v>
      </c>
      <c r="AF209" s="11" t="s">
        <v>626</v>
      </c>
      <c r="AG209" s="11">
        <v>4.0</v>
      </c>
      <c r="AH209" s="11"/>
      <c r="AJ209" s="46"/>
      <c r="BA209" s="52"/>
      <c r="BB209" s="52"/>
    </row>
    <row r="210">
      <c r="A210" s="46"/>
      <c r="D210" s="53"/>
      <c r="F210" s="48"/>
      <c r="G210" s="48"/>
      <c r="H210" s="49"/>
      <c r="K210" s="46"/>
      <c r="O210" s="46"/>
      <c r="U210" s="46"/>
      <c r="AC210" s="61">
        <v>55.0</v>
      </c>
      <c r="AD210" s="25" t="s">
        <v>35</v>
      </c>
      <c r="AE210" s="25" t="s">
        <v>36</v>
      </c>
      <c r="AF210" s="25" t="s">
        <v>37</v>
      </c>
      <c r="AG210" s="25">
        <v>15.0</v>
      </c>
      <c r="AH210" s="25"/>
      <c r="AJ210" s="46"/>
      <c r="BA210" s="52"/>
      <c r="BB210" s="52"/>
    </row>
    <row r="211">
      <c r="A211" s="46"/>
      <c r="D211" s="53"/>
      <c r="F211" s="48"/>
      <c r="G211" s="48"/>
      <c r="H211" s="49"/>
      <c r="K211" s="46"/>
      <c r="O211" s="46"/>
      <c r="U211" s="46"/>
      <c r="AC211" s="61">
        <v>55.0</v>
      </c>
      <c r="AD211" s="11" t="s">
        <v>35</v>
      </c>
      <c r="AE211" s="11" t="s">
        <v>36</v>
      </c>
      <c r="AF211" s="56" t="s">
        <v>619</v>
      </c>
      <c r="AG211" s="11">
        <v>25.0</v>
      </c>
      <c r="AH211" s="11"/>
      <c r="AJ211" s="46"/>
      <c r="BA211" s="52"/>
      <c r="BB211" s="52"/>
    </row>
    <row r="212">
      <c r="A212" s="46"/>
      <c r="D212" s="53"/>
      <c r="F212" s="48"/>
      <c r="G212" s="48"/>
      <c r="H212" s="49"/>
      <c r="K212" s="46"/>
      <c r="O212" s="46"/>
      <c r="U212" s="46"/>
      <c r="AC212" s="61">
        <v>55.0</v>
      </c>
      <c r="AD212" s="11" t="s">
        <v>61</v>
      </c>
      <c r="AE212" s="11" t="s">
        <v>36</v>
      </c>
      <c r="AF212" s="11" t="s">
        <v>162</v>
      </c>
      <c r="AG212" s="11">
        <v>5.0</v>
      </c>
      <c r="AH212" s="11"/>
      <c r="AJ212" s="46"/>
      <c r="BA212" s="52"/>
      <c r="BB212" s="52"/>
    </row>
    <row r="213">
      <c r="A213" s="46"/>
      <c r="D213" s="53"/>
      <c r="F213" s="48"/>
      <c r="G213" s="48"/>
      <c r="H213" s="49"/>
      <c r="K213" s="46"/>
      <c r="O213" s="46"/>
      <c r="U213" s="46"/>
      <c r="AC213" s="61">
        <v>55.0</v>
      </c>
      <c r="AD213" s="11" t="s">
        <v>61</v>
      </c>
      <c r="AE213" s="11" t="s">
        <v>36</v>
      </c>
      <c r="AF213" s="11" t="s">
        <v>37</v>
      </c>
      <c r="AG213" s="11">
        <v>-10.0</v>
      </c>
      <c r="AH213" s="11"/>
      <c r="AJ213" s="46"/>
      <c r="BA213" s="52"/>
      <c r="BB213" s="52"/>
    </row>
    <row r="214">
      <c r="A214" s="46"/>
      <c r="D214" s="53"/>
      <c r="F214" s="48"/>
      <c r="G214" s="48"/>
      <c r="H214" s="49"/>
      <c r="K214" s="46"/>
      <c r="O214" s="46"/>
      <c r="U214" s="46"/>
      <c r="AC214" s="61">
        <v>55.0</v>
      </c>
      <c r="AD214" s="11" t="s">
        <v>617</v>
      </c>
      <c r="AE214" s="11" t="s">
        <v>613</v>
      </c>
      <c r="AF214" s="11" t="s">
        <v>626</v>
      </c>
      <c r="AG214" s="11">
        <v>5.0</v>
      </c>
      <c r="AH214" s="11"/>
      <c r="AJ214" s="46"/>
      <c r="BA214" s="52"/>
      <c r="BB214" s="52"/>
    </row>
    <row r="215">
      <c r="A215" s="46"/>
      <c r="D215" s="53"/>
      <c r="F215" s="48"/>
      <c r="G215" s="48"/>
      <c r="H215" s="49"/>
      <c r="K215" s="46"/>
      <c r="O215" s="46"/>
      <c r="U215" s="46"/>
      <c r="AC215" s="61">
        <v>56.0</v>
      </c>
      <c r="AD215" s="11" t="s">
        <v>35</v>
      </c>
      <c r="AE215" s="11" t="s">
        <v>36</v>
      </c>
      <c r="AF215" s="11" t="s">
        <v>162</v>
      </c>
      <c r="AG215" s="11">
        <v>-10.0</v>
      </c>
      <c r="AH215" s="11"/>
      <c r="AJ215" s="46"/>
      <c r="BA215" s="52"/>
      <c r="BB215" s="52"/>
    </row>
    <row r="216">
      <c r="A216" s="46"/>
      <c r="D216" s="53"/>
      <c r="F216" s="48"/>
      <c r="G216" s="48"/>
      <c r="H216" s="49"/>
      <c r="K216" s="46"/>
      <c r="O216" s="46"/>
      <c r="U216" s="46"/>
      <c r="AC216" s="61">
        <v>56.0</v>
      </c>
      <c r="AD216" s="11" t="s">
        <v>61</v>
      </c>
      <c r="AE216" s="11" t="s">
        <v>36</v>
      </c>
      <c r="AF216" s="11" t="s">
        <v>162</v>
      </c>
      <c r="AG216" s="11">
        <v>20.0</v>
      </c>
      <c r="AH216" s="11"/>
      <c r="AJ216" s="46"/>
      <c r="BA216" s="52"/>
      <c r="BB216" s="52"/>
    </row>
    <row r="217">
      <c r="A217" s="46"/>
      <c r="D217" s="53"/>
      <c r="F217" s="48"/>
      <c r="G217" s="48"/>
      <c r="H217" s="49"/>
      <c r="K217" s="46"/>
      <c r="O217" s="46"/>
      <c r="U217" s="46"/>
      <c r="AC217" s="61">
        <v>56.0</v>
      </c>
      <c r="AD217" s="11" t="s">
        <v>61</v>
      </c>
      <c r="AE217" s="11" t="s">
        <v>36</v>
      </c>
      <c r="AF217" s="11" t="s">
        <v>72</v>
      </c>
      <c r="AG217" s="11">
        <v>-30.0</v>
      </c>
      <c r="AH217" s="11"/>
      <c r="AJ217" s="46"/>
      <c r="BA217" s="52"/>
      <c r="BB217" s="52"/>
    </row>
    <row r="218">
      <c r="A218" s="46"/>
      <c r="D218" s="53"/>
      <c r="F218" s="48"/>
      <c r="G218" s="48"/>
      <c r="H218" s="49"/>
      <c r="K218" s="46"/>
      <c r="O218" s="46"/>
      <c r="U218" s="46"/>
      <c r="AC218" s="61">
        <v>56.0</v>
      </c>
      <c r="AD218" s="11" t="s">
        <v>617</v>
      </c>
      <c r="AE218" s="62" t="s">
        <v>253</v>
      </c>
      <c r="AF218" s="11"/>
      <c r="AG218" s="11">
        <v>6.0</v>
      </c>
      <c r="AH218" s="11" t="s">
        <v>627</v>
      </c>
      <c r="AI218" s="63" t="s">
        <v>628</v>
      </c>
      <c r="AJ218" s="46"/>
      <c r="BA218" s="52"/>
      <c r="BB218" s="52"/>
    </row>
    <row r="219">
      <c r="A219" s="46"/>
      <c r="D219" s="53"/>
      <c r="F219" s="48"/>
      <c r="G219" s="48"/>
      <c r="H219" s="49"/>
      <c r="K219" s="46"/>
      <c r="O219" s="46"/>
      <c r="U219" s="46"/>
      <c r="AC219" s="61">
        <v>56.0</v>
      </c>
      <c r="AD219" s="11" t="s">
        <v>617</v>
      </c>
      <c r="AE219" s="57" t="s">
        <v>613</v>
      </c>
      <c r="AF219" s="11" t="s">
        <v>620</v>
      </c>
      <c r="AG219" s="11"/>
      <c r="AH219" s="11"/>
      <c r="AJ219" s="46"/>
      <c r="BA219" s="52"/>
      <c r="BB219" s="52"/>
    </row>
    <row r="220">
      <c r="A220" s="46"/>
      <c r="D220" s="53"/>
      <c r="F220" s="48"/>
      <c r="G220" s="48"/>
      <c r="H220" s="49"/>
      <c r="K220" s="46"/>
      <c r="O220" s="46"/>
      <c r="U220" s="46"/>
      <c r="AC220" s="64">
        <v>57.0</v>
      </c>
      <c r="AD220" s="11" t="s">
        <v>35</v>
      </c>
      <c r="AE220" s="11" t="s">
        <v>36</v>
      </c>
      <c r="AF220" s="11" t="s">
        <v>72</v>
      </c>
      <c r="AG220" s="11">
        <v>5.0</v>
      </c>
      <c r="AH220" s="11"/>
      <c r="AJ220" s="46"/>
      <c r="BA220" s="52"/>
      <c r="BB220" s="52"/>
    </row>
    <row r="221">
      <c r="A221" s="46"/>
      <c r="D221" s="53"/>
      <c r="F221" s="48"/>
      <c r="G221" s="48"/>
      <c r="H221" s="49"/>
      <c r="K221" s="46"/>
      <c r="O221" s="46"/>
      <c r="U221" s="46"/>
      <c r="AC221" s="64">
        <v>57.0</v>
      </c>
      <c r="AD221" s="11" t="s">
        <v>35</v>
      </c>
      <c r="AE221" s="11" t="s">
        <v>36</v>
      </c>
      <c r="AF221" s="11" t="s">
        <v>37</v>
      </c>
      <c r="AG221" s="11">
        <v>-10.0</v>
      </c>
      <c r="AH221" s="11"/>
      <c r="AJ221" s="46"/>
      <c r="BA221" s="52"/>
      <c r="BB221" s="52"/>
    </row>
    <row r="222">
      <c r="A222" s="46"/>
      <c r="D222" s="53"/>
      <c r="F222" s="48"/>
      <c r="G222" s="48"/>
      <c r="H222" s="49"/>
      <c r="K222" s="46"/>
      <c r="O222" s="46"/>
      <c r="U222" s="46"/>
      <c r="AC222" s="64">
        <v>57.0</v>
      </c>
      <c r="AD222" s="11" t="s">
        <v>61</v>
      </c>
      <c r="AE222" s="11" t="s">
        <v>36</v>
      </c>
      <c r="AF222" s="11" t="s">
        <v>162</v>
      </c>
      <c r="AG222" s="11">
        <v>5.0</v>
      </c>
      <c r="AH222" s="11"/>
      <c r="AJ222" s="46"/>
      <c r="BA222" s="52"/>
      <c r="BB222" s="52"/>
    </row>
    <row r="223">
      <c r="A223" s="46"/>
      <c r="D223" s="53"/>
      <c r="F223" s="48"/>
      <c r="G223" s="48"/>
      <c r="H223" s="49"/>
      <c r="K223" s="46"/>
      <c r="O223" s="46"/>
      <c r="U223" s="46"/>
      <c r="AC223" s="64">
        <v>57.0</v>
      </c>
      <c r="AD223" s="11" t="s">
        <v>617</v>
      </c>
      <c r="AE223" s="11" t="s">
        <v>613</v>
      </c>
      <c r="AF223" s="11" t="s">
        <v>629</v>
      </c>
      <c r="AG223" s="11">
        <v>1.0</v>
      </c>
      <c r="AH223" s="11"/>
      <c r="AJ223" s="46"/>
      <c r="BA223" s="52"/>
      <c r="BB223" s="52"/>
    </row>
    <row r="224">
      <c r="A224" s="46"/>
      <c r="D224" s="53"/>
      <c r="F224" s="48"/>
      <c r="G224" s="48"/>
      <c r="H224" s="49"/>
      <c r="K224" s="46"/>
      <c r="O224" s="46"/>
      <c r="U224" s="46"/>
      <c r="AC224" s="64">
        <v>58.0</v>
      </c>
      <c r="AD224" s="11" t="s">
        <v>35</v>
      </c>
      <c r="AE224" s="11" t="s">
        <v>36</v>
      </c>
      <c r="AF224" s="11" t="s">
        <v>162</v>
      </c>
      <c r="AG224" s="11">
        <v>-10.0</v>
      </c>
      <c r="AH224" s="11"/>
      <c r="AJ224" s="46"/>
      <c r="BA224" s="52"/>
      <c r="BB224" s="52"/>
    </row>
    <row r="225">
      <c r="A225" s="46"/>
      <c r="D225" s="53"/>
      <c r="F225" s="48"/>
      <c r="G225" s="48"/>
      <c r="H225" s="49"/>
      <c r="K225" s="46"/>
      <c r="O225" s="46"/>
      <c r="U225" s="46"/>
      <c r="AC225" s="64">
        <v>58.0</v>
      </c>
      <c r="AD225" s="11" t="s">
        <v>35</v>
      </c>
      <c r="AE225" s="11" t="s">
        <v>36</v>
      </c>
      <c r="AF225" s="56" t="s">
        <v>619</v>
      </c>
      <c r="AG225" s="11">
        <v>20.0</v>
      </c>
      <c r="AH225" s="11"/>
      <c r="AJ225" s="46"/>
      <c r="BA225" s="52"/>
      <c r="BB225" s="52"/>
    </row>
    <row r="226">
      <c r="A226" s="46"/>
      <c r="D226" s="53"/>
      <c r="F226" s="48"/>
      <c r="G226" s="48"/>
      <c r="H226" s="49"/>
      <c r="K226" s="46"/>
      <c r="O226" s="46"/>
      <c r="U226" s="46"/>
      <c r="AC226" s="64">
        <v>58.0</v>
      </c>
      <c r="AD226" s="11" t="s">
        <v>61</v>
      </c>
      <c r="AE226" s="11" t="s">
        <v>36</v>
      </c>
      <c r="AF226" s="11" t="s">
        <v>162</v>
      </c>
      <c r="AG226" s="11">
        <v>5.0</v>
      </c>
      <c r="AH226" s="11"/>
      <c r="AJ226" s="46"/>
      <c r="BA226" s="52"/>
      <c r="BB226" s="52"/>
    </row>
    <row r="227">
      <c r="A227" s="46"/>
      <c r="D227" s="53"/>
      <c r="F227" s="48"/>
      <c r="G227" s="48"/>
      <c r="H227" s="49"/>
      <c r="K227" s="46"/>
      <c r="O227" s="46"/>
      <c r="U227" s="46"/>
      <c r="AC227" s="64">
        <v>58.0</v>
      </c>
      <c r="AD227" s="11" t="s">
        <v>617</v>
      </c>
      <c r="AE227" s="11" t="s">
        <v>613</v>
      </c>
      <c r="AF227" s="11" t="s">
        <v>629</v>
      </c>
      <c r="AG227" s="11">
        <v>2.0</v>
      </c>
      <c r="AH227" s="11"/>
      <c r="AJ227" s="46"/>
      <c r="BA227" s="52"/>
      <c r="BB227" s="52"/>
    </row>
    <row r="228">
      <c r="A228" s="46"/>
      <c r="D228" s="53"/>
      <c r="F228" s="48"/>
      <c r="G228" s="48"/>
      <c r="H228" s="49"/>
      <c r="K228" s="46"/>
      <c r="O228" s="46"/>
      <c r="U228" s="46"/>
      <c r="AC228" s="64">
        <v>59.0</v>
      </c>
      <c r="AD228" s="11" t="s">
        <v>35</v>
      </c>
      <c r="AE228" s="11" t="s">
        <v>36</v>
      </c>
      <c r="AF228" s="11" t="s">
        <v>72</v>
      </c>
      <c r="AG228" s="11">
        <v>5.0</v>
      </c>
      <c r="AH228" s="11"/>
      <c r="AJ228" s="46"/>
      <c r="BA228" s="52"/>
      <c r="BB228" s="52"/>
    </row>
    <row r="229">
      <c r="A229" s="46"/>
      <c r="D229" s="53"/>
      <c r="F229" s="48"/>
      <c r="G229" s="48"/>
      <c r="H229" s="49"/>
      <c r="K229" s="46"/>
      <c r="O229" s="46"/>
      <c r="U229" s="46"/>
      <c r="AC229" s="64">
        <v>59.0</v>
      </c>
      <c r="AD229" s="11" t="s">
        <v>35</v>
      </c>
      <c r="AE229" s="11" t="s">
        <v>36</v>
      </c>
      <c r="AF229" s="11" t="s">
        <v>50</v>
      </c>
      <c r="AG229" s="11">
        <v>-10.0</v>
      </c>
      <c r="AH229" s="11"/>
      <c r="AJ229" s="46"/>
      <c r="BA229" s="52"/>
      <c r="BB229" s="52"/>
    </row>
    <row r="230">
      <c r="A230" s="46"/>
      <c r="D230" s="53"/>
      <c r="F230" s="48"/>
      <c r="G230" s="48"/>
      <c r="H230" s="49"/>
      <c r="K230" s="46"/>
      <c r="O230" s="46"/>
      <c r="U230" s="46"/>
      <c r="AC230" s="64">
        <v>59.0</v>
      </c>
      <c r="AD230" s="11" t="s">
        <v>61</v>
      </c>
      <c r="AE230" s="11" t="s">
        <v>36</v>
      </c>
      <c r="AF230" s="11" t="s">
        <v>162</v>
      </c>
      <c r="AG230" s="11">
        <v>5.0</v>
      </c>
      <c r="AH230" s="11"/>
      <c r="AJ230" s="46"/>
      <c r="BA230" s="52"/>
      <c r="BB230" s="52"/>
    </row>
    <row r="231">
      <c r="A231" s="46"/>
      <c r="D231" s="53"/>
      <c r="F231" s="48"/>
      <c r="G231" s="48"/>
      <c r="H231" s="49"/>
      <c r="K231" s="46"/>
      <c r="O231" s="46"/>
      <c r="U231" s="46"/>
      <c r="AC231" s="64">
        <v>59.0</v>
      </c>
      <c r="AD231" s="11" t="s">
        <v>617</v>
      </c>
      <c r="AE231" s="11" t="s">
        <v>613</v>
      </c>
      <c r="AF231" s="11" t="s">
        <v>629</v>
      </c>
      <c r="AG231" s="11">
        <v>3.0</v>
      </c>
      <c r="AH231" s="11"/>
      <c r="AJ231" s="46"/>
      <c r="BA231" s="52"/>
      <c r="BB231" s="52"/>
    </row>
    <row r="232">
      <c r="A232" s="46"/>
      <c r="D232" s="53"/>
      <c r="F232" s="48"/>
      <c r="G232" s="48"/>
      <c r="H232" s="49"/>
      <c r="K232" s="46"/>
      <c r="O232" s="46"/>
      <c r="U232" s="46"/>
      <c r="AC232" s="64">
        <v>60.0</v>
      </c>
      <c r="AD232" s="25" t="s">
        <v>35</v>
      </c>
      <c r="AE232" s="25" t="s">
        <v>36</v>
      </c>
      <c r="AF232" s="25" t="s">
        <v>37</v>
      </c>
      <c r="AG232" s="25">
        <v>30.0</v>
      </c>
      <c r="AH232" s="25"/>
      <c r="AJ232" s="46"/>
      <c r="BA232" s="52"/>
      <c r="BB232" s="52"/>
    </row>
    <row r="233">
      <c r="A233" s="46"/>
      <c r="D233" s="53"/>
      <c r="F233" s="48"/>
      <c r="G233" s="48"/>
      <c r="H233" s="49"/>
      <c r="K233" s="46"/>
      <c r="O233" s="46"/>
      <c r="U233" s="46"/>
      <c r="AC233" s="64">
        <v>60.0</v>
      </c>
      <c r="AD233" s="11" t="s">
        <v>35</v>
      </c>
      <c r="AE233" s="11" t="s">
        <v>36</v>
      </c>
      <c r="AF233" s="11" t="s">
        <v>388</v>
      </c>
      <c r="AG233" s="11">
        <v>1.0</v>
      </c>
      <c r="AH233" s="11"/>
      <c r="AJ233" s="46"/>
      <c r="BA233" s="52"/>
      <c r="BB233" s="52"/>
    </row>
    <row r="234">
      <c r="A234" s="46"/>
      <c r="D234" s="53"/>
      <c r="F234" s="48"/>
      <c r="G234" s="48"/>
      <c r="H234" s="49"/>
      <c r="K234" s="46"/>
      <c r="O234" s="46"/>
      <c r="U234" s="46"/>
      <c r="AC234" s="64">
        <v>60.0</v>
      </c>
      <c r="AD234" s="11" t="s">
        <v>61</v>
      </c>
      <c r="AE234" s="11" t="s">
        <v>36</v>
      </c>
      <c r="AF234" s="11" t="s">
        <v>162</v>
      </c>
      <c r="AG234" s="11">
        <v>10.0</v>
      </c>
      <c r="AH234" s="11"/>
      <c r="AJ234" s="46"/>
      <c r="BA234" s="52"/>
      <c r="BB234" s="52"/>
    </row>
    <row r="235">
      <c r="A235" s="46"/>
      <c r="D235" s="53"/>
      <c r="F235" s="48"/>
      <c r="G235" s="48"/>
      <c r="H235" s="49"/>
      <c r="K235" s="46"/>
      <c r="O235" s="46"/>
      <c r="U235" s="46"/>
      <c r="AC235" s="64">
        <v>60.0</v>
      </c>
      <c r="AD235" s="11" t="s">
        <v>617</v>
      </c>
      <c r="AE235" s="11" t="s">
        <v>613</v>
      </c>
      <c r="AF235" s="11" t="s">
        <v>629</v>
      </c>
      <c r="AG235" s="11">
        <v>4.0</v>
      </c>
      <c r="AH235" s="11"/>
      <c r="AJ235" s="46"/>
      <c r="BA235" s="52"/>
      <c r="BB235" s="52"/>
    </row>
    <row r="236">
      <c r="A236" s="46"/>
      <c r="D236" s="53"/>
      <c r="F236" s="48"/>
      <c r="G236" s="48"/>
      <c r="H236" s="49"/>
      <c r="K236" s="46"/>
      <c r="O236" s="46"/>
      <c r="U236" s="46"/>
      <c r="AC236" s="64">
        <v>61.0</v>
      </c>
      <c r="AD236" s="11" t="s">
        <v>35</v>
      </c>
      <c r="AE236" s="11" t="s">
        <v>613</v>
      </c>
      <c r="AF236" s="16" t="s">
        <v>630</v>
      </c>
      <c r="AG236" s="11"/>
      <c r="AH236" s="11"/>
      <c r="AJ236" s="46"/>
      <c r="BA236" s="52"/>
      <c r="BB236" s="52"/>
    </row>
    <row r="237">
      <c r="A237" s="46"/>
      <c r="D237" s="53"/>
      <c r="F237" s="48"/>
      <c r="G237" s="48"/>
      <c r="H237" s="49"/>
      <c r="K237" s="46"/>
      <c r="O237" s="46"/>
      <c r="U237" s="46"/>
      <c r="AC237" s="64">
        <v>61.0</v>
      </c>
      <c r="AD237" s="11" t="s">
        <v>35</v>
      </c>
      <c r="AE237" s="11" t="s">
        <v>36</v>
      </c>
      <c r="AF237" s="11" t="s">
        <v>50</v>
      </c>
      <c r="AG237" s="11">
        <v>20.0</v>
      </c>
      <c r="AH237" s="11"/>
      <c r="AJ237" s="46"/>
      <c r="BA237" s="52"/>
      <c r="BB237" s="52"/>
    </row>
    <row r="238">
      <c r="A238" s="46"/>
      <c r="D238" s="53"/>
      <c r="F238" s="48"/>
      <c r="G238" s="48"/>
      <c r="H238" s="49"/>
      <c r="K238" s="46"/>
      <c r="O238" s="46"/>
      <c r="U238" s="46"/>
      <c r="AC238" s="64">
        <v>61.0</v>
      </c>
      <c r="AD238" s="11" t="s">
        <v>61</v>
      </c>
      <c r="AE238" s="11" t="s">
        <v>36</v>
      </c>
      <c r="AF238" s="11" t="s">
        <v>162</v>
      </c>
      <c r="AG238" s="11">
        <v>10.0</v>
      </c>
      <c r="AH238" s="11"/>
      <c r="AJ238" s="46"/>
      <c r="BA238" s="52"/>
      <c r="BB238" s="52"/>
    </row>
    <row r="239">
      <c r="A239" s="46"/>
      <c r="D239" s="53"/>
      <c r="F239" s="48"/>
      <c r="G239" s="48"/>
      <c r="H239" s="49"/>
      <c r="K239" s="46"/>
      <c r="O239" s="46"/>
      <c r="U239" s="46"/>
      <c r="AC239" s="64">
        <v>62.0</v>
      </c>
      <c r="AD239" s="11" t="s">
        <v>35</v>
      </c>
      <c r="AE239" s="57" t="s">
        <v>613</v>
      </c>
      <c r="AF239" s="11" t="s">
        <v>620</v>
      </c>
      <c r="AG239" s="11"/>
      <c r="AH239" s="16" t="s">
        <v>631</v>
      </c>
      <c r="AJ239" s="46"/>
      <c r="BA239" s="52"/>
      <c r="BB239" s="52"/>
    </row>
    <row r="240">
      <c r="A240" s="46"/>
      <c r="D240" s="53"/>
      <c r="F240" s="48"/>
      <c r="G240" s="48"/>
      <c r="H240" s="49"/>
      <c r="K240" s="46"/>
      <c r="O240" s="46"/>
      <c r="U240" s="46"/>
      <c r="AC240" s="64">
        <v>62.0</v>
      </c>
      <c r="AD240" s="11" t="s">
        <v>61</v>
      </c>
      <c r="AE240" s="11" t="s">
        <v>36</v>
      </c>
      <c r="AF240" s="11" t="s">
        <v>162</v>
      </c>
      <c r="AG240" s="11">
        <v>20.0</v>
      </c>
      <c r="AH240" s="11"/>
      <c r="AJ240" s="46"/>
      <c r="BA240" s="52"/>
      <c r="BB240" s="52"/>
    </row>
    <row r="241">
      <c r="A241" s="46"/>
      <c r="D241" s="53"/>
      <c r="F241" s="48"/>
      <c r="G241" s="48"/>
      <c r="H241" s="49"/>
      <c r="K241" s="46"/>
      <c r="O241" s="46"/>
      <c r="U241" s="46"/>
      <c r="AC241" s="64">
        <v>62.0</v>
      </c>
      <c r="AD241" s="11" t="s">
        <v>61</v>
      </c>
      <c r="AE241" s="11" t="s">
        <v>36</v>
      </c>
      <c r="AF241" s="11" t="s">
        <v>37</v>
      </c>
      <c r="AG241" s="11">
        <v>-30.0</v>
      </c>
      <c r="AH241" s="11"/>
      <c r="AJ241" s="46"/>
      <c r="BA241" s="52"/>
      <c r="BB241" s="52"/>
    </row>
    <row r="242">
      <c r="A242" s="46"/>
      <c r="D242" s="53"/>
      <c r="F242" s="48"/>
      <c r="G242" s="48"/>
      <c r="H242" s="49"/>
      <c r="K242" s="46"/>
      <c r="O242" s="46"/>
      <c r="U242" s="46"/>
      <c r="AC242" s="64">
        <v>62.0</v>
      </c>
      <c r="AD242" s="11" t="s">
        <v>61</v>
      </c>
      <c r="AE242" s="57" t="s">
        <v>613</v>
      </c>
      <c r="AF242" s="11" t="s">
        <v>620</v>
      </c>
      <c r="AG242" s="11"/>
      <c r="AH242" s="11"/>
      <c r="AJ242" s="46"/>
      <c r="BA242" s="52"/>
      <c r="BB242" s="52"/>
    </row>
    <row r="243">
      <c r="A243" s="46"/>
      <c r="D243" s="53"/>
      <c r="F243" s="48"/>
      <c r="G243" s="48"/>
      <c r="H243" s="49"/>
      <c r="K243" s="46"/>
      <c r="O243" s="46"/>
      <c r="U243" s="46"/>
      <c r="AC243" s="10"/>
      <c r="AD243" s="11"/>
      <c r="AE243" s="11"/>
      <c r="AF243" s="11"/>
      <c r="AG243" s="11"/>
      <c r="AH243" s="11"/>
      <c r="AJ243" s="46"/>
      <c r="BA243" s="52"/>
      <c r="BB243" s="52"/>
    </row>
    <row r="244">
      <c r="A244" s="46"/>
      <c r="D244" s="53"/>
      <c r="F244" s="48"/>
      <c r="G244" s="48"/>
      <c r="H244" s="49"/>
      <c r="K244" s="46"/>
      <c r="O244" s="46"/>
      <c r="U244" s="46"/>
      <c r="AC244" s="10"/>
      <c r="AD244" s="11"/>
      <c r="AE244" s="11"/>
      <c r="AF244" s="11"/>
      <c r="AG244" s="11"/>
      <c r="AH244" s="11"/>
      <c r="AJ244" s="46"/>
      <c r="BA244" s="52"/>
      <c r="BB244" s="52"/>
    </row>
    <row r="245">
      <c r="A245" s="46"/>
      <c r="D245" s="53"/>
      <c r="F245" s="48"/>
      <c r="G245" s="48"/>
      <c r="H245" s="49"/>
      <c r="K245" s="46"/>
      <c r="O245" s="46"/>
      <c r="U245" s="46"/>
      <c r="AC245" s="10"/>
      <c r="AD245" s="11"/>
      <c r="AE245" s="11"/>
      <c r="AF245" s="11"/>
      <c r="AG245" s="11"/>
      <c r="AH245" s="11"/>
      <c r="AJ245" s="46"/>
      <c r="BA245" s="52"/>
      <c r="BB245" s="52"/>
    </row>
    <row r="246">
      <c r="A246" s="46"/>
      <c r="D246" s="53"/>
      <c r="F246" s="48"/>
      <c r="G246" s="48"/>
      <c r="H246" s="49"/>
      <c r="K246" s="46"/>
      <c r="O246" s="46"/>
      <c r="U246" s="46"/>
      <c r="AC246" s="10"/>
      <c r="AD246" s="11"/>
      <c r="AE246" s="11"/>
      <c r="AF246" s="11"/>
      <c r="AG246" s="11"/>
      <c r="AH246" s="11"/>
      <c r="AJ246" s="46"/>
      <c r="BA246" s="52"/>
      <c r="BB246" s="52"/>
    </row>
    <row r="247">
      <c r="A247" s="46"/>
      <c r="D247" s="53"/>
      <c r="F247" s="48"/>
      <c r="G247" s="48"/>
      <c r="H247" s="49"/>
      <c r="K247" s="46"/>
      <c r="O247" s="46"/>
      <c r="U247" s="46"/>
      <c r="AC247" s="46"/>
      <c r="AD247" s="46"/>
      <c r="AE247" s="46"/>
      <c r="AF247" s="46"/>
      <c r="AG247" s="46"/>
      <c r="AJ247" s="46"/>
      <c r="BA247" s="52"/>
      <c r="BB247" s="52"/>
    </row>
    <row r="248">
      <c r="A248" s="46"/>
      <c r="D248" s="53"/>
      <c r="F248" s="48"/>
      <c r="G248" s="48"/>
      <c r="H248" s="49"/>
      <c r="K248" s="46"/>
      <c r="O248" s="46"/>
      <c r="U248" s="46"/>
      <c r="AC248" s="46"/>
      <c r="AD248" s="46"/>
      <c r="AE248" s="46"/>
      <c r="AF248" s="46"/>
      <c r="AG248" s="46"/>
      <c r="AJ248" s="46"/>
      <c r="BA248" s="52"/>
      <c r="BB248" s="52"/>
    </row>
    <row r="249">
      <c r="A249" s="46"/>
      <c r="D249" s="53"/>
      <c r="F249" s="48"/>
      <c r="G249" s="48"/>
      <c r="H249" s="49"/>
      <c r="K249" s="46"/>
      <c r="O249" s="46"/>
      <c r="U249" s="46"/>
      <c r="AC249" s="46"/>
      <c r="AD249" s="46"/>
      <c r="AE249" s="46"/>
      <c r="AF249" s="46"/>
      <c r="AG249" s="46"/>
      <c r="AJ249" s="46"/>
      <c r="BA249" s="52"/>
      <c r="BB249" s="52"/>
    </row>
    <row r="250">
      <c r="A250" s="46"/>
      <c r="D250" s="53"/>
      <c r="F250" s="48"/>
      <c r="G250" s="48"/>
      <c r="H250" s="49"/>
      <c r="K250" s="46"/>
      <c r="O250" s="46"/>
      <c r="U250" s="46"/>
      <c r="AC250" s="46"/>
      <c r="AD250" s="46"/>
      <c r="AE250" s="46"/>
      <c r="AF250" s="46"/>
      <c r="AG250" s="46"/>
      <c r="AJ250" s="46"/>
      <c r="BA250" s="52"/>
      <c r="BB250" s="52"/>
    </row>
    <row r="251">
      <c r="A251" s="46"/>
      <c r="D251" s="53"/>
      <c r="F251" s="48"/>
      <c r="G251" s="48"/>
      <c r="H251" s="49"/>
      <c r="K251" s="46"/>
      <c r="O251" s="46"/>
      <c r="U251" s="46"/>
      <c r="AC251" s="46"/>
      <c r="AD251" s="46"/>
      <c r="AE251" s="46"/>
      <c r="AF251" s="46"/>
      <c r="AG251" s="46"/>
      <c r="AJ251" s="46"/>
      <c r="BA251" s="52"/>
      <c r="BB251" s="52"/>
    </row>
    <row r="252">
      <c r="A252" s="46"/>
      <c r="D252" s="53"/>
      <c r="F252" s="48"/>
      <c r="G252" s="48"/>
      <c r="H252" s="49"/>
      <c r="K252" s="46"/>
      <c r="O252" s="46"/>
      <c r="U252" s="46"/>
      <c r="AC252" s="46"/>
      <c r="AD252" s="46"/>
      <c r="AE252" s="46"/>
      <c r="AF252" s="46"/>
      <c r="AG252" s="46"/>
      <c r="AJ252" s="46"/>
      <c r="BA252" s="52"/>
      <c r="BB252" s="52"/>
    </row>
    <row r="253">
      <c r="A253" s="46"/>
      <c r="D253" s="53"/>
      <c r="F253" s="48"/>
      <c r="G253" s="48"/>
      <c r="H253" s="49"/>
      <c r="K253" s="46"/>
      <c r="O253" s="46"/>
      <c r="U253" s="46"/>
      <c r="AC253" s="46"/>
      <c r="AD253" s="46"/>
      <c r="AE253" s="46"/>
      <c r="AF253" s="46"/>
      <c r="AG253" s="46"/>
      <c r="AJ253" s="46"/>
      <c r="BA253" s="52"/>
      <c r="BB253" s="52"/>
    </row>
  </sheetData>
  <mergeCells count="4">
    <mergeCell ref="AV2:AV5"/>
    <mergeCell ref="AW2:AW5"/>
    <mergeCell ref="AX2:AX5"/>
    <mergeCell ref="AY3:AY5"/>
  </mergeCells>
  <drawing r:id="rId1"/>
</worksheet>
</file>